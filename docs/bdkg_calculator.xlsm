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6830" windowHeight="8190" tabRatio="153"/>
  </bookViews>
  <sheets>
    <sheet name="Sheet1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T106" i="1" l="1"/>
  <c r="M106" i="1"/>
  <c r="G106" i="1"/>
  <c r="I106" i="1" s="1"/>
  <c r="J106" i="1" s="1"/>
  <c r="K106" i="1" s="1"/>
  <c r="T105" i="1"/>
  <c r="M105" i="1"/>
  <c r="G105" i="1"/>
  <c r="I105" i="1" s="1"/>
  <c r="J105" i="1" s="1"/>
  <c r="K105" i="1" s="1"/>
  <c r="T104" i="1"/>
  <c r="M104" i="1"/>
  <c r="G104" i="1"/>
  <c r="I104" i="1" s="1"/>
  <c r="J104" i="1" s="1"/>
  <c r="K104" i="1" s="1"/>
  <c r="T103" i="1"/>
  <c r="M103" i="1"/>
  <c r="G103" i="1"/>
  <c r="I103" i="1" s="1"/>
  <c r="J103" i="1" s="1"/>
  <c r="K103" i="1" s="1"/>
  <c r="T102" i="1"/>
  <c r="M102" i="1"/>
  <c r="G102" i="1"/>
  <c r="I102" i="1" s="1"/>
  <c r="J102" i="1" s="1"/>
  <c r="K102" i="1" s="1"/>
  <c r="T101" i="1"/>
  <c r="P101" i="1"/>
  <c r="N101" i="1"/>
  <c r="M101" i="1"/>
  <c r="G101" i="1" s="1"/>
  <c r="T100" i="1"/>
  <c r="P100" i="1"/>
  <c r="N100" i="1"/>
  <c r="M100" i="1"/>
  <c r="G100" i="1"/>
  <c r="H100" i="1" s="1"/>
  <c r="T99" i="1"/>
  <c r="P99" i="1"/>
  <c r="M99" i="1"/>
  <c r="G99" i="1"/>
  <c r="H99" i="1" s="1"/>
  <c r="F99" i="1"/>
  <c r="I101" i="1" l="1"/>
  <c r="J101" i="1" s="1"/>
  <c r="K101" i="1" s="1"/>
  <c r="H101" i="1"/>
  <c r="I99" i="1"/>
  <c r="J99" i="1" s="1"/>
  <c r="K99" i="1" s="1"/>
  <c r="I100" i="1"/>
  <c r="J100" i="1" s="1"/>
  <c r="K100" i="1" s="1"/>
  <c r="F84" i="1"/>
  <c r="F69" i="1"/>
  <c r="F54" i="1"/>
  <c r="F39" i="1"/>
  <c r="F24" i="1"/>
  <c r="F9" i="1" l="1"/>
</calcChain>
</file>

<file path=xl/sharedStrings.xml><?xml version="1.0" encoding="utf-8"?>
<sst xmlns="http://schemas.openxmlformats.org/spreadsheetml/2006/main" count="161" uniqueCount="14">
  <si>
    <t>,</t>
  </si>
  <si>
    <t>Измеренное значение</t>
  </si>
  <si>
    <t>№</t>
  </si>
  <si>
    <t>нЗв/ч</t>
  </si>
  <si>
    <t xml:space="preserve"> R, см</t>
  </si>
  <si>
    <t>,нЗв/ч</t>
  </si>
  <si>
    <t>, %</t>
  </si>
  <si>
    <t>фон</t>
  </si>
  <si>
    <t>0НА</t>
  </si>
  <si>
    <t>299.003</t>
  </si>
  <si>
    <t>9XK</t>
  </si>
  <si>
    <t>043</t>
  </si>
  <si>
    <t>163</t>
  </si>
  <si>
    <t>415.001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</si>
</sst>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_р_."/>
  </numFmts>
  <fonts count="16" x14ac:knownFonts="1">
    <font>
      <sz val="8"/>
      <color theme="1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16"/>
      <name val="Arial"/>
      <family val="2"/>
      <charset val="204"/>
    </font>
    <font>
      <b/>
      <sz val="10"/>
      <color indexed="9"/>
      <name val="Arial"/>
      <family val="2"/>
      <charset val="204"/>
    </font>
    <font>
      <i/>
      <sz val="10"/>
      <color indexed="23"/>
      <name val="Arial"/>
      <family val="2"/>
      <charset val="204"/>
    </font>
    <font>
      <sz val="10"/>
      <color indexed="58"/>
      <name val="Arial"/>
      <family val="2"/>
      <charset val="204"/>
    </font>
    <font>
      <sz val="18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24"/>
      <color indexed="8"/>
      <name val="Arial"/>
      <family val="2"/>
      <charset val="204"/>
    </font>
    <font>
      <sz val="10"/>
      <color indexed="19"/>
      <name val="Arial"/>
      <family val="2"/>
      <charset val="204"/>
    </font>
    <font>
      <sz val="10"/>
      <color indexed="63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1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6"/>
        <bgColor indexed="10"/>
      </patternFill>
    </fill>
    <fill>
      <patternFill patternType="solid">
        <fgColor indexed="42"/>
        <bgColor indexed="41"/>
      </patternFill>
    </fill>
    <fill>
      <patternFill patternType="solid">
        <fgColor indexed="26"/>
        <bgColor indexed="9"/>
      </patternFill>
    </fill>
    <fill>
      <patternFill patternType="solid">
        <fgColor indexed="13"/>
        <bgColor indexed="34"/>
      </patternFill>
    </fill>
    <fill>
      <patternFill patternType="solid">
        <fgColor indexed="27"/>
        <bgColor indexed="42"/>
      </patternFill>
    </fill>
    <fill>
      <patternFill patternType="solid">
        <fgColor indexed="50"/>
        <bgColor indexed="27"/>
      </patternFill>
    </fill>
    <fill>
      <patternFill patternType="solid">
        <fgColor indexed="10"/>
        <bgColor indexed="16"/>
      </patternFill>
    </fill>
    <fill>
      <patternFill patternType="solid">
        <fgColor indexed="11"/>
        <bgColor indexed="50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double">
        <color indexed="8"/>
      </right>
      <top/>
      <bottom/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8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7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8" borderId="1" applyNumberFormat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/>
    <xf numFmtId="1" fontId="1" fillId="0" borderId="0" xfId="1" applyNumberFormat="1"/>
    <xf numFmtId="0" fontId="13" fillId="0" borderId="3" xfId="1" applyFont="1" applyBorder="1" applyAlignment="1">
      <alignment horizontal="center" wrapText="1"/>
    </xf>
    <xf numFmtId="0" fontId="13" fillId="0" borderId="4" xfId="1" applyFont="1" applyBorder="1" applyAlignment="1">
      <alignment horizontal="center" vertical="top" wrapText="1"/>
    </xf>
    <xf numFmtId="0" fontId="13" fillId="0" borderId="4" xfId="1" applyFont="1" applyBorder="1" applyAlignment="1">
      <alignment horizontal="center" wrapText="1"/>
    </xf>
    <xf numFmtId="0" fontId="13" fillId="0" borderId="5" xfId="1" applyFont="1" applyBorder="1" applyAlignment="1">
      <alignment horizontal="center" wrapText="1"/>
    </xf>
    <xf numFmtId="0" fontId="13" fillId="0" borderId="6" xfId="1" applyFont="1" applyBorder="1" applyAlignment="1">
      <alignment horizontal="left" vertical="top"/>
    </xf>
    <xf numFmtId="0" fontId="1" fillId="0" borderId="7" xfId="1" applyBorder="1" applyAlignment="1">
      <alignment horizontal="center" vertical="top" wrapText="1"/>
    </xf>
    <xf numFmtId="0" fontId="1" fillId="0" borderId="8" xfId="1" applyBorder="1"/>
    <xf numFmtId="0" fontId="1" fillId="0" borderId="3" xfId="1" applyBorder="1"/>
    <xf numFmtId="0" fontId="1" fillId="0" borderId="4" xfId="1" applyBorder="1" applyAlignment="1">
      <alignment wrapText="1"/>
    </xf>
    <xf numFmtId="0" fontId="1" fillId="0" borderId="5" xfId="1" applyBorder="1" applyAlignment="1">
      <alignment vertical="top" wrapText="1"/>
    </xf>
    <xf numFmtId="0" fontId="1" fillId="0" borderId="4" xfId="1" applyBorder="1" applyAlignment="1">
      <alignment vertical="top" wrapText="1"/>
    </xf>
    <xf numFmtId="0" fontId="1" fillId="0" borderId="5" xfId="1" applyBorder="1"/>
    <xf numFmtId="0" fontId="13" fillId="0" borderId="9" xfId="1" applyFont="1" applyBorder="1" applyAlignment="1">
      <alignment horizontal="center" wrapText="1"/>
    </xf>
    <xf numFmtId="0" fontId="13" fillId="0" borderId="10" xfId="1" applyFont="1" applyBorder="1" applyAlignment="1">
      <alignment horizontal="center" vertical="top" wrapText="1"/>
    </xf>
    <xf numFmtId="0" fontId="13" fillId="0" borderId="10" xfId="1" applyFont="1" applyBorder="1" applyAlignment="1">
      <alignment horizontal="center" wrapText="1"/>
    </xf>
    <xf numFmtId="0" fontId="13" fillId="0" borderId="11" xfId="1" applyFont="1" applyBorder="1" applyAlignment="1">
      <alignment horizontal="center" wrapText="1"/>
    </xf>
    <xf numFmtId="9" fontId="13" fillId="0" borderId="10" xfId="1" applyNumberFormat="1" applyFont="1" applyBorder="1" applyAlignment="1">
      <alignment horizontal="center" vertical="top" wrapText="1"/>
    </xf>
    <xf numFmtId="0" fontId="1" fillId="0" borderId="11" xfId="1" applyFont="1" applyBorder="1" applyAlignment="1">
      <alignment horizontal="center" wrapText="1"/>
    </xf>
    <xf numFmtId="11" fontId="1" fillId="0" borderId="10" xfId="1" applyNumberFormat="1" applyFont="1" applyBorder="1" applyAlignment="1">
      <alignment horizontal="center" wrapText="1"/>
    </xf>
    <xf numFmtId="0" fontId="1" fillId="0" borderId="10" xfId="1" applyFont="1" applyBorder="1" applyAlignment="1">
      <alignment horizontal="center" vertical="top" wrapText="1"/>
    </xf>
    <xf numFmtId="164" fontId="1" fillId="0" borderId="10" xfId="1" applyNumberFormat="1" applyFont="1" applyBorder="1" applyAlignment="1">
      <alignment horizontal="center" vertical="top" wrapText="1"/>
    </xf>
    <xf numFmtId="164" fontId="1" fillId="0" borderId="10" xfId="1" applyNumberFormat="1" applyFont="1" applyBorder="1" applyAlignment="1">
      <alignment horizontal="center" wrapText="1"/>
    </xf>
    <xf numFmtId="0" fontId="1" fillId="0" borderId="10" xfId="1" applyFont="1" applyBorder="1" applyAlignment="1">
      <alignment horizontal="center" wrapText="1"/>
    </xf>
    <xf numFmtId="0" fontId="1" fillId="0" borderId="12" xfId="1" applyBorder="1"/>
    <xf numFmtId="0" fontId="1" fillId="10" borderId="0" xfId="1" applyFill="1"/>
    <xf numFmtId="0" fontId="1" fillId="9" borderId="3" xfId="1" applyFill="1" applyBorder="1" applyAlignment="1">
      <alignment horizontal="center"/>
    </xf>
    <xf numFmtId="0" fontId="1" fillId="7" borderId="0" xfId="1" applyFill="1"/>
    <xf numFmtId="0" fontId="1" fillId="11" borderId="0" xfId="1" applyNumberFormat="1" applyFill="1"/>
    <xf numFmtId="165" fontId="1" fillId="0" borderId="0" xfId="1" applyNumberFormat="1"/>
    <xf numFmtId="0" fontId="1" fillId="0" borderId="14" xfId="1" applyBorder="1"/>
    <xf numFmtId="11" fontId="1" fillId="12" borderId="0" xfId="1" applyNumberFormat="1" applyFill="1" applyBorder="1"/>
    <xf numFmtId="0" fontId="1" fillId="9" borderId="4" xfId="1" applyFill="1" applyBorder="1" applyAlignment="1">
      <alignment horizontal="center"/>
    </xf>
    <xf numFmtId="11" fontId="1" fillId="10" borderId="0" xfId="1" applyNumberFormat="1" applyFill="1"/>
    <xf numFmtId="49" fontId="15" fillId="0" borderId="0" xfId="1" applyNumberFormat="1" applyFont="1" applyAlignment="1">
      <alignment horizontal="center"/>
    </xf>
    <xf numFmtId="49" fontId="1" fillId="0" borderId="10" xfId="1" applyNumberFormat="1" applyFont="1" applyBorder="1" applyAlignment="1">
      <alignment horizontal="center" vertical="top" wrapText="1"/>
    </xf>
    <xf numFmtId="0" fontId="1" fillId="12" borderId="0" xfId="1" applyFill="1" applyBorder="1"/>
    <xf numFmtId="0" fontId="14" fillId="0" borderId="2" xfId="1" applyFont="1" applyBorder="1"/>
    <xf numFmtId="0" fontId="1" fillId="0" borderId="15" xfId="1" applyBorder="1"/>
    <xf numFmtId="0" fontId="1" fillId="12" borderId="2" xfId="1" applyFill="1" applyBorder="1"/>
    <xf numFmtId="0" fontId="1" fillId="9" borderId="10" xfId="1" applyFill="1" applyBorder="1" applyAlignment="1">
      <alignment horizontal="center"/>
    </xf>
    <xf numFmtId="11" fontId="1" fillId="13" borderId="13" xfId="1" applyNumberFormat="1" applyFill="1" applyBorder="1"/>
    <xf numFmtId="0" fontId="13" fillId="0" borderId="8" xfId="1" applyFont="1" applyBorder="1" applyAlignment="1">
      <alignment horizontal="center" vertical="top" wrapText="1"/>
    </xf>
    <xf numFmtId="0" fontId="13" fillId="0" borderId="8" xfId="1" applyFont="1" applyBorder="1" applyAlignment="1">
      <alignment horizontal="center" wrapText="1"/>
    </xf>
    <xf numFmtId="0" fontId="13" fillId="0" borderId="11" xfId="1" applyFont="1" applyBorder="1" applyAlignment="1">
      <alignment horizontal="center" vertical="top" wrapText="1"/>
    </xf>
    <xf numFmtId="49" fontId="14" fillId="0" borderId="0" xfId="1" applyNumberFormat="1" applyFont="1" applyAlignment="1">
      <alignment horizontal="right"/>
    </xf>
    <xf numFmtId="0" fontId="1" fillId="0" borderId="0" xfId="1" applyFill="1"/>
    <xf numFmtId="11" fontId="1" fillId="0" borderId="0" xfId="1" applyNumberFormat="1" applyFill="1"/>
    <xf numFmtId="164" fontId="14" fillId="0" borderId="0" xfId="1" applyNumberFormat="1" applyFont="1"/>
    <xf numFmtId="0" fontId="1" fillId="0" borderId="16" xfId="1" applyBorder="1"/>
    <xf numFmtId="0" fontId="1" fillId="0" borderId="17" xfId="1" applyBorder="1"/>
    <xf numFmtId="11" fontId="1" fillId="0" borderId="8" xfId="1" applyNumberFormat="1" applyFont="1" applyBorder="1" applyAlignment="1">
      <alignment horizontal="center" vertical="center" wrapText="1"/>
    </xf>
    <xf numFmtId="11" fontId="1" fillId="0" borderId="5" xfId="1" applyNumberFormat="1" applyFont="1" applyBorder="1" applyAlignment="1">
      <alignment horizontal="center" vertical="center" wrapText="1"/>
    </xf>
    <xf numFmtId="11" fontId="1" fillId="0" borderId="11" xfId="1" applyNumberFormat="1" applyFont="1" applyBorder="1" applyAlignment="1">
      <alignment horizontal="center" vertical="center" wrapText="1"/>
    </xf>
    <xf numFmtId="0" fontId="0" fillId="0" borderId="16" xfId="0" applyBorder="1"/>
    <xf numFmtId="0" fontId="13" fillId="0" borderId="3" xfId="0" applyFont="1" applyBorder="1" applyAlignment="1">
      <alignment horizontal="center" wrapText="1"/>
    </xf>
    <xf numFmtId="0" fontId="13" fillId="0" borderId="8" xfId="0" applyFont="1" applyBorder="1" applyAlignment="1">
      <alignment horizontal="center" vertical="top" wrapText="1"/>
    </xf>
    <xf numFmtId="0" fontId="13" fillId="0" borderId="8" xfId="0" applyFont="1" applyBorder="1" applyAlignment="1">
      <alignment horizontal="center" wrapText="1"/>
    </xf>
    <xf numFmtId="0" fontId="13" fillId="0" borderId="6" xfId="0" applyFont="1" applyBorder="1" applyAlignment="1">
      <alignment horizontal="left" vertical="top"/>
    </xf>
    <xf numFmtId="0" fontId="0" fillId="0" borderId="7" xfId="0" applyBorder="1" applyAlignment="1">
      <alignment horizontal="center" vertical="top" wrapText="1"/>
    </xf>
    <xf numFmtId="0" fontId="0" fillId="0" borderId="8" xfId="0" applyBorder="1"/>
    <xf numFmtId="0" fontId="0" fillId="0" borderId="3" xfId="0" applyBorder="1"/>
    <xf numFmtId="11" fontId="0" fillId="0" borderId="0" xfId="0" applyNumberFormat="1" applyFill="1"/>
    <xf numFmtId="0" fontId="0" fillId="0" borderId="0" xfId="0" applyFill="1"/>
    <xf numFmtId="0" fontId="13" fillId="0" borderId="4" xfId="0" applyFont="1" applyBorder="1" applyAlignment="1">
      <alignment horizontal="center" wrapText="1"/>
    </xf>
    <xf numFmtId="0" fontId="0" fillId="0" borderId="5" xfId="0" applyBorder="1"/>
    <xf numFmtId="0" fontId="0" fillId="0" borderId="4" xfId="0" applyBorder="1" applyAlignment="1">
      <alignment wrapText="1"/>
    </xf>
    <xf numFmtId="0" fontId="13" fillId="0" borderId="5" xfId="0" applyFont="1" applyBorder="1" applyAlignment="1">
      <alignment horizontal="center" wrapText="1"/>
    </xf>
    <xf numFmtId="0" fontId="13" fillId="0" borderId="4" xfId="0" applyFont="1" applyBorder="1" applyAlignment="1">
      <alignment horizontal="center" vertical="top" wrapText="1"/>
    </xf>
    <xf numFmtId="0" fontId="0" fillId="0" borderId="5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14" xfId="0" applyBorder="1"/>
    <xf numFmtId="0" fontId="0" fillId="0" borderId="17" xfId="0" applyBorder="1"/>
    <xf numFmtId="0" fontId="13" fillId="0" borderId="9" xfId="0" applyFont="1" applyBorder="1" applyAlignment="1">
      <alignment horizontal="center" wrapText="1"/>
    </xf>
    <xf numFmtId="0" fontId="13" fillId="0" borderId="11" xfId="0" applyFont="1" applyBorder="1" applyAlignment="1">
      <alignment horizontal="center" vertical="top" wrapText="1"/>
    </xf>
    <xf numFmtId="0" fontId="13" fillId="0" borderId="10" xfId="0" applyFont="1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0" xfId="0" applyFont="1" applyBorder="1" applyAlignment="1">
      <alignment horizontal="center" vertical="top" wrapText="1"/>
    </xf>
    <xf numFmtId="9" fontId="13" fillId="0" borderId="10" xfId="0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right"/>
    </xf>
    <xf numFmtId="0" fontId="0" fillId="0" borderId="11" xfId="0" applyFont="1" applyBorder="1" applyAlignment="1">
      <alignment horizontal="center" wrapText="1"/>
    </xf>
    <xf numFmtId="11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vertical="top" wrapText="1"/>
    </xf>
    <xf numFmtId="164" fontId="0" fillId="0" borderId="10" xfId="0" applyNumberFormat="1" applyFont="1" applyBorder="1" applyAlignment="1">
      <alignment horizontal="center" vertical="top" wrapText="1"/>
    </xf>
    <xf numFmtId="11" fontId="0" fillId="0" borderId="18" xfId="0" applyNumberFormat="1" applyFont="1" applyBorder="1" applyAlignment="1">
      <alignment horizontal="center" vertical="center" wrapText="1"/>
    </xf>
    <xf numFmtId="164" fontId="0" fillId="0" borderId="10" xfId="0" applyNumberFormat="1" applyFont="1" applyBorder="1" applyAlignment="1">
      <alignment horizontal="center" wrapText="1"/>
    </xf>
    <xf numFmtId="0" fontId="0" fillId="0" borderId="10" xfId="0" applyFont="1" applyBorder="1" applyAlignment="1">
      <alignment horizontal="center" wrapText="1"/>
    </xf>
    <xf numFmtId="0" fontId="0" fillId="0" borderId="12" xfId="0" applyBorder="1"/>
    <xf numFmtId="0" fontId="0" fillId="10" borderId="0" xfId="0" applyFill="1"/>
    <xf numFmtId="11" fontId="0" fillId="13" borderId="13" xfId="0" applyNumberFormat="1" applyFill="1" applyBorder="1"/>
    <xf numFmtId="0" fontId="0" fillId="9" borderId="3" xfId="0" applyFill="1" applyBorder="1" applyAlignment="1">
      <alignment horizontal="center"/>
    </xf>
    <xf numFmtId="0" fontId="14" fillId="0" borderId="0" xfId="0" applyFont="1"/>
    <xf numFmtId="0" fontId="0" fillId="7" borderId="0" xfId="0" applyFill="1"/>
    <xf numFmtId="0" fontId="0" fillId="11" borderId="0" xfId="0" applyNumberFormat="1" applyFill="1"/>
    <xf numFmtId="165" fontId="0" fillId="0" borderId="0" xfId="0" applyNumberFormat="1"/>
    <xf numFmtId="164" fontId="14" fillId="0" borderId="0" xfId="0" applyNumberFormat="1" applyFont="1"/>
    <xf numFmtId="11" fontId="0" fillId="12" borderId="0" xfId="0" applyNumberFormat="1" applyFill="1" applyBorder="1"/>
    <xf numFmtId="0" fontId="0" fillId="9" borderId="4" xfId="0" applyFill="1" applyBorder="1" applyAlignment="1">
      <alignment horizontal="center"/>
    </xf>
    <xf numFmtId="11" fontId="0" fillId="10" borderId="0" xfId="0" applyNumberFormat="1" applyFill="1"/>
    <xf numFmtId="49" fontId="15" fillId="0" borderId="0" xfId="0" applyNumberFormat="1" applyFont="1" applyAlignment="1">
      <alignment horizontal="center"/>
    </xf>
    <xf numFmtId="49" fontId="0" fillId="0" borderId="10" xfId="0" applyNumberFormat="1" applyFont="1" applyBorder="1" applyAlignment="1">
      <alignment horizontal="center" vertical="top" wrapText="1"/>
    </xf>
    <xf numFmtId="0" fontId="0" fillId="12" borderId="0" xfId="0" applyFill="1" applyBorder="1"/>
    <xf numFmtId="1" fontId="0" fillId="0" borderId="0" xfId="0" applyNumberFormat="1"/>
    <xf numFmtId="0" fontId="14" fillId="0" borderId="2" xfId="0" applyFont="1" applyBorder="1"/>
    <xf numFmtId="0" fontId="0" fillId="0" borderId="15" xfId="0" applyBorder="1"/>
    <xf numFmtId="0" fontId="0" fillId="12" borderId="2" xfId="0" applyFill="1" applyBorder="1"/>
    <xf numFmtId="0" fontId="0" fillId="9" borderId="10" xfId="0" applyFill="1" applyBorder="1" applyAlignment="1">
      <alignment horizontal="center"/>
    </xf>
  </cellXfs>
  <cellStyles count="18">
    <cellStyle name="Accent" xfId="2"/>
    <cellStyle name="Accent 1" xfId="3"/>
    <cellStyle name="Accent 2" xfId="4"/>
    <cellStyle name="Accent 3" xfId="5"/>
    <cellStyle name="Bad 2" xfId="6"/>
    <cellStyle name="Error" xfId="7"/>
    <cellStyle name="Footnote" xfId="8"/>
    <cellStyle name="Good 2" xfId="9"/>
    <cellStyle name="Heading 1 2" xfId="10"/>
    <cellStyle name="Heading 2 2" xfId="11"/>
    <cellStyle name="Heading 3 2" xfId="12"/>
    <cellStyle name="Neutral 2" xfId="13"/>
    <cellStyle name="Normal 2" xfId="1"/>
    <cellStyle name="Note 2" xfId="14"/>
    <cellStyle name="Status" xfId="15"/>
    <cellStyle name="Text" xfId="16"/>
    <cellStyle name="Warning" xfId="17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wserv4\&#1087;&#1088;&#1086;&#1080;&#1079;&#1074;&#1086;&#1076;&#1089;&#1090;&#1074;&#1086;\&#1059;&#1095;&#1072;&#1089;&#1090;&#1086;&#1082;%20&#1056;&#1048;&#1080;&#1056;\&#1041;&#1072;&#1079;&#1072;%20&#1089;&#1077;&#1088;&#1090;&#1080;&#1092;&#1080;&#1082;&#1072;&#1090;&#1086;&#1074;%20&#1080;%20&#1087;&#1086;&#1074;&#1077;&#1088;&#1086;&#1082;\Protokols\&#1057;&#1056;&#1050;-&#1040;&#1058;2327\&#1056;&#1072;&#1089;&#1095;&#1077;&#1090;%20&#1087;&#1088;&#1086;&#1090;&#1086;&#1082;&#1086;&#1083;&#1086;&#1074;%20&#1087;&#1086;&#1074;&#1077;&#1088;&#1082;&#1080;%20&#1041;&#1044;&#1050;&#1043;-0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алибровочные значения"/>
      <sheetName val="Протокол"/>
      <sheetName val="Коэффициенты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T106"/>
  <sheetViews>
    <sheetView tabSelected="1" topLeftCell="A82" workbookViewId="0">
      <selection activeCell="K99" sqref="K99"/>
    </sheetView>
  </sheetViews>
  <sheetFormatPr defaultRowHeight="11.25" x14ac:dyDescent="0.2"/>
  <cols>
    <col min="3" max="3" width="11.83203125" customWidth="1"/>
    <col min="6" max="6" width="11.5" customWidth="1"/>
    <col min="7" max="7" width="11.33203125" customWidth="1"/>
    <col min="8" max="8" width="11.83203125" customWidth="1"/>
    <col min="11" max="11" width="14" customWidth="1"/>
    <col min="13" max="13" width="11.33203125" customWidth="1"/>
    <col min="14" max="14" width="11.5" customWidth="1"/>
    <col min="16" max="16" width="16.5" customWidth="1"/>
    <col min="19" max="19" width="14.5" customWidth="1"/>
    <col min="20" max="20" width="17.5" customWidth="1"/>
  </cols>
  <sheetData>
    <row r="4" spans="1:20" ht="12" thickBot="1" x14ac:dyDescent="0.25"/>
    <row r="5" spans="1:20" ht="13.5" thickBot="1" x14ac:dyDescent="0.25">
      <c r="A5" s="53"/>
      <c r="B5" s="5"/>
      <c r="C5" s="46" t="s">
        <v>0</v>
      </c>
      <c r="D5" s="5"/>
      <c r="E5" s="47"/>
      <c r="F5" s="9" t="s">
        <v>1</v>
      </c>
      <c r="G5" s="10"/>
      <c r="H5" s="47"/>
      <c r="I5" s="11"/>
      <c r="J5" s="12"/>
      <c r="K5" s="12"/>
      <c r="L5" s="1"/>
      <c r="M5" s="51"/>
      <c r="N5" s="1"/>
      <c r="O5" s="50"/>
      <c r="P5" s="1"/>
      <c r="Q5" s="1"/>
      <c r="R5" s="1"/>
      <c r="S5" s="1"/>
      <c r="T5" s="1"/>
    </row>
    <row r="6" spans="1:20" ht="12.75" x14ac:dyDescent="0.2">
      <c r="A6" s="53"/>
      <c r="B6" s="7"/>
      <c r="C6" s="16"/>
      <c r="D6" s="13"/>
      <c r="E6" s="8"/>
      <c r="F6" s="6"/>
      <c r="G6" s="6"/>
      <c r="H6" s="8"/>
      <c r="I6" s="14"/>
      <c r="J6" s="15"/>
      <c r="K6" s="15"/>
      <c r="L6" s="34"/>
      <c r="M6" s="51"/>
      <c r="N6" s="1"/>
      <c r="O6" s="1"/>
      <c r="P6" s="1"/>
      <c r="Q6" s="1"/>
      <c r="R6" s="1"/>
      <c r="S6" s="1"/>
      <c r="T6" s="1"/>
    </row>
    <row r="7" spans="1:20" ht="12.75" x14ac:dyDescent="0.2">
      <c r="A7" s="53"/>
      <c r="B7" s="7"/>
      <c r="C7" s="14"/>
      <c r="D7" s="16"/>
      <c r="E7" s="8"/>
      <c r="F7" s="6" t="s">
        <v>0</v>
      </c>
      <c r="G7" s="6" t="s">
        <v>0</v>
      </c>
      <c r="H7" s="8"/>
      <c r="I7" s="15"/>
      <c r="J7" s="15"/>
      <c r="K7" s="15"/>
      <c r="L7" s="34"/>
      <c r="M7" s="51"/>
      <c r="N7" s="1"/>
      <c r="O7" s="1"/>
      <c r="P7" s="1"/>
      <c r="Q7" s="1"/>
      <c r="R7" s="1"/>
      <c r="S7" s="1"/>
      <c r="T7" s="1"/>
    </row>
    <row r="8" spans="1:20" ht="13.5" thickBot="1" x14ac:dyDescent="0.25">
      <c r="A8" s="54"/>
      <c r="B8" s="17" t="s">
        <v>2</v>
      </c>
      <c r="C8" s="48" t="s">
        <v>3</v>
      </c>
      <c r="D8" s="19" t="s">
        <v>2</v>
      </c>
      <c r="E8" s="20" t="s">
        <v>4</v>
      </c>
      <c r="F8" s="18" t="s">
        <v>3</v>
      </c>
      <c r="G8" s="18" t="s">
        <v>3</v>
      </c>
      <c r="H8" s="20" t="s">
        <v>5</v>
      </c>
      <c r="I8" s="18" t="s">
        <v>6</v>
      </c>
      <c r="J8" s="18" t="s">
        <v>6</v>
      </c>
      <c r="K8" s="21">
        <v>0.15</v>
      </c>
      <c r="L8" s="1"/>
      <c r="M8" s="51"/>
      <c r="N8" s="2" t="s">
        <v>7</v>
      </c>
      <c r="O8" s="1"/>
      <c r="P8" s="1"/>
      <c r="Q8" s="1"/>
      <c r="R8" s="1"/>
      <c r="S8" s="1"/>
      <c r="T8" s="1"/>
    </row>
    <row r="9" spans="1:20" ht="14.25" thickTop="1" thickBot="1" x14ac:dyDescent="0.25">
      <c r="A9" s="49"/>
      <c r="B9" s="22">
        <v>1</v>
      </c>
      <c r="C9" s="23">
        <v>700</v>
      </c>
      <c r="D9" s="24" t="s">
        <v>8</v>
      </c>
      <c r="E9" s="25">
        <v>241.9</v>
      </c>
      <c r="F9" s="55">
        <f>N9</f>
        <v>104</v>
      </c>
      <c r="G9" s="23">
        <v>800</v>
      </c>
      <c r="H9" s="23">
        <v>696</v>
      </c>
      <c r="I9" s="26">
        <v>-0.5714285714285714</v>
      </c>
      <c r="J9" s="26">
        <v>6.1325471296595815</v>
      </c>
      <c r="K9" s="27" t="e">
        <v>#VALUE!</v>
      </c>
      <c r="L9" s="28"/>
      <c r="M9" s="29">
        <v>800</v>
      </c>
      <c r="N9" s="45">
        <v>104</v>
      </c>
      <c r="O9" s="30">
        <v>5</v>
      </c>
      <c r="P9" s="3">
        <v>0</v>
      </c>
      <c r="Q9" s="31">
        <v>0.82040000000000002</v>
      </c>
      <c r="R9" s="32">
        <v>0.7</v>
      </c>
      <c r="S9" s="1">
        <v>1000</v>
      </c>
      <c r="T9" s="33">
        <v>820.4</v>
      </c>
    </row>
    <row r="10" spans="1:20" ht="13.5" thickBot="1" x14ac:dyDescent="0.25">
      <c r="A10" s="52" t="s">
        <v>9</v>
      </c>
      <c r="B10" s="22">
        <v>2</v>
      </c>
      <c r="C10" s="23">
        <v>7000</v>
      </c>
      <c r="D10" s="24" t="s">
        <v>8</v>
      </c>
      <c r="E10" s="25">
        <v>77.400000000000006</v>
      </c>
      <c r="F10" s="56"/>
      <c r="G10" s="23">
        <v>7200</v>
      </c>
      <c r="H10" s="23">
        <v>7096</v>
      </c>
      <c r="I10" s="26">
        <v>1.3714285714285714</v>
      </c>
      <c r="J10" s="26">
        <v>6.2846712843275423</v>
      </c>
      <c r="K10" s="27" t="e">
        <v>#VALUE!</v>
      </c>
      <c r="L10" s="34"/>
      <c r="M10" s="29">
        <v>7200</v>
      </c>
      <c r="N10" s="35">
        <v>104</v>
      </c>
      <c r="O10" s="36">
        <v>5</v>
      </c>
      <c r="P10" s="3">
        <v>0</v>
      </c>
      <c r="Q10" s="31">
        <v>6.9059999999999997</v>
      </c>
      <c r="R10" s="32">
        <v>7.1</v>
      </c>
      <c r="S10" s="1">
        <v>1000</v>
      </c>
      <c r="T10" s="33">
        <v>6906</v>
      </c>
    </row>
    <row r="11" spans="1:20" ht="13.5" thickBot="1" x14ac:dyDescent="0.25">
      <c r="A11" s="3"/>
      <c r="B11" s="22">
        <v>3</v>
      </c>
      <c r="C11" s="23">
        <v>70000</v>
      </c>
      <c r="D11" s="24" t="s">
        <v>10</v>
      </c>
      <c r="E11" s="25">
        <v>167.3</v>
      </c>
      <c r="F11" s="57"/>
      <c r="G11" s="23">
        <v>70100</v>
      </c>
      <c r="H11" s="23">
        <v>69996</v>
      </c>
      <c r="I11" s="26">
        <v>-5.7142857142857143E-3</v>
      </c>
      <c r="J11" s="26">
        <v>5.100004081630571</v>
      </c>
      <c r="K11" s="27" t="e">
        <v>#VALUE!</v>
      </c>
      <c r="L11" s="34"/>
      <c r="M11" s="37">
        <v>70100</v>
      </c>
      <c r="N11" s="35">
        <v>104</v>
      </c>
      <c r="O11" s="36">
        <v>4</v>
      </c>
      <c r="P11" s="38">
        <v>0</v>
      </c>
      <c r="Q11" s="31">
        <v>70.12</v>
      </c>
      <c r="R11" s="32">
        <v>70</v>
      </c>
      <c r="S11" s="1">
        <v>1000</v>
      </c>
      <c r="T11" s="33">
        <v>70120</v>
      </c>
    </row>
    <row r="12" spans="1:20" ht="13.5" thickBot="1" x14ac:dyDescent="0.25">
      <c r="A12" s="3"/>
      <c r="B12" s="22">
        <v>4</v>
      </c>
      <c r="C12" s="23">
        <v>700000</v>
      </c>
      <c r="D12" s="39" t="s">
        <v>10</v>
      </c>
      <c r="E12" s="25">
        <v>53.7</v>
      </c>
      <c r="F12" s="27"/>
      <c r="G12" s="23">
        <v>690000</v>
      </c>
      <c r="H12" s="27"/>
      <c r="I12" s="26">
        <v>-1.4285714285714286</v>
      </c>
      <c r="J12" s="26">
        <v>5.3474482135195736</v>
      </c>
      <c r="K12" s="27" t="e">
        <v>#VALUE!</v>
      </c>
      <c r="L12" s="34"/>
      <c r="M12" s="37">
        <v>690000</v>
      </c>
      <c r="N12" s="40"/>
      <c r="O12" s="36">
        <v>4</v>
      </c>
      <c r="P12" s="3">
        <v>5</v>
      </c>
      <c r="Q12" s="31">
        <v>0.70920000000000005</v>
      </c>
      <c r="R12" s="32">
        <v>0.69</v>
      </c>
      <c r="S12" s="1">
        <v>1000000</v>
      </c>
      <c r="T12" s="33">
        <v>709200</v>
      </c>
    </row>
    <row r="13" spans="1:20" ht="13.5" thickBot="1" x14ac:dyDescent="0.25">
      <c r="A13" s="3"/>
      <c r="B13" s="22">
        <v>5</v>
      </c>
      <c r="C13" s="23">
        <v>7000000</v>
      </c>
      <c r="D13" s="39" t="s">
        <v>11</v>
      </c>
      <c r="E13" s="25">
        <v>364.1</v>
      </c>
      <c r="F13" s="27"/>
      <c r="G13" s="23">
        <v>6900000</v>
      </c>
      <c r="H13" s="27"/>
      <c r="I13" s="26">
        <v>-1.4285714285714286</v>
      </c>
      <c r="J13" s="26">
        <v>5.3474482135195736</v>
      </c>
      <c r="K13" s="27" t="e">
        <v>#VALUE!</v>
      </c>
      <c r="L13" s="34"/>
      <c r="M13" s="37">
        <v>6900000</v>
      </c>
      <c r="N13" s="40"/>
      <c r="O13" s="36">
        <v>4</v>
      </c>
      <c r="P13" s="3"/>
      <c r="Q13" s="31">
        <v>7.5069999999999997</v>
      </c>
      <c r="R13" s="32">
        <v>6.9</v>
      </c>
      <c r="S13" s="1">
        <v>1000000</v>
      </c>
      <c r="T13" s="33">
        <v>7507000</v>
      </c>
    </row>
    <row r="14" spans="1:20" ht="13.5" thickBot="1" x14ac:dyDescent="0.25">
      <c r="A14" s="3"/>
      <c r="B14" s="22">
        <v>6</v>
      </c>
      <c r="C14" s="23">
        <v>70000000</v>
      </c>
      <c r="D14" s="39" t="s">
        <v>11</v>
      </c>
      <c r="E14" s="25">
        <v>116.7</v>
      </c>
      <c r="F14" s="27"/>
      <c r="G14" s="23">
        <v>68000000</v>
      </c>
      <c r="H14" s="27"/>
      <c r="I14" s="26">
        <v>-2.8571428571428572</v>
      </c>
      <c r="J14" s="26">
        <v>6.015614438310072</v>
      </c>
      <c r="K14" s="27" t="e">
        <v>#VALUE!</v>
      </c>
      <c r="L14" s="34"/>
      <c r="M14" s="37">
        <v>68000000</v>
      </c>
      <c r="N14" s="40"/>
      <c r="O14" s="36">
        <v>4</v>
      </c>
      <c r="P14" s="3"/>
      <c r="Q14" s="31">
        <v>71.7</v>
      </c>
      <c r="R14" s="32">
        <v>68</v>
      </c>
      <c r="S14" s="1">
        <v>1000000</v>
      </c>
      <c r="T14" s="33">
        <v>71700000</v>
      </c>
    </row>
    <row r="15" spans="1:20" ht="13.5" thickBot="1" x14ac:dyDescent="0.25">
      <c r="A15" s="3"/>
      <c r="B15" s="22">
        <v>7</v>
      </c>
      <c r="C15" s="23">
        <v>700000000</v>
      </c>
      <c r="D15" s="39" t="s">
        <v>12</v>
      </c>
      <c r="E15" s="25">
        <v>240.9</v>
      </c>
      <c r="F15" s="27"/>
      <c r="G15" s="23">
        <v>700000000</v>
      </c>
      <c r="H15" s="27"/>
      <c r="I15" s="26">
        <v>0</v>
      </c>
      <c r="J15" s="26">
        <v>5.0999999999999996</v>
      </c>
      <c r="K15" s="27" t="e">
        <v>#VALUE!</v>
      </c>
      <c r="L15" s="34"/>
      <c r="M15" s="37">
        <v>700000000</v>
      </c>
      <c r="N15" s="40"/>
      <c r="O15" s="36">
        <v>4</v>
      </c>
      <c r="P15" s="3"/>
      <c r="Q15" s="31">
        <v>0.70069999999999999</v>
      </c>
      <c r="R15" s="32">
        <v>0.7</v>
      </c>
      <c r="S15" s="4">
        <v>1000000000</v>
      </c>
      <c r="T15" s="33">
        <v>700700000</v>
      </c>
    </row>
    <row r="16" spans="1:20" ht="13.5" thickBot="1" x14ac:dyDescent="0.25">
      <c r="A16" s="41"/>
      <c r="B16" s="22">
        <v>8</v>
      </c>
      <c r="C16" s="23">
        <v>7000000000</v>
      </c>
      <c r="D16" s="39" t="s">
        <v>12</v>
      </c>
      <c r="E16" s="25">
        <v>77.5</v>
      </c>
      <c r="F16" s="27"/>
      <c r="G16" s="23">
        <v>7100000000</v>
      </c>
      <c r="H16" s="27"/>
      <c r="I16" s="26">
        <v>1.4285714285714286</v>
      </c>
      <c r="J16" s="26">
        <v>5.3474482135195736</v>
      </c>
      <c r="K16" s="27" t="e">
        <v>#VALUE!</v>
      </c>
      <c r="L16" s="42"/>
      <c r="M16" s="37">
        <v>7100000000</v>
      </c>
      <c r="N16" s="43"/>
      <c r="O16" s="44">
        <v>4</v>
      </c>
      <c r="P16" s="41"/>
      <c r="Q16" s="31">
        <v>6.9909999999999997</v>
      </c>
      <c r="R16" s="32">
        <v>7.1</v>
      </c>
      <c r="S16" s="4">
        <v>1000000000</v>
      </c>
      <c r="T16" s="33">
        <v>6991000000</v>
      </c>
    </row>
    <row r="19" spans="1:20" ht="12" thickBot="1" x14ac:dyDescent="0.25"/>
    <row r="20" spans="1:20" ht="13.5" thickBot="1" x14ac:dyDescent="0.25">
      <c r="A20" s="53"/>
      <c r="B20" s="5"/>
      <c r="C20" s="46" t="s">
        <v>0</v>
      </c>
      <c r="D20" s="5"/>
      <c r="E20" s="47"/>
      <c r="F20" s="9" t="s">
        <v>1</v>
      </c>
      <c r="G20" s="10"/>
      <c r="H20" s="47"/>
      <c r="I20" s="11"/>
      <c r="J20" s="12"/>
      <c r="K20" s="12"/>
      <c r="L20" s="1"/>
      <c r="M20" s="51"/>
      <c r="N20" s="1"/>
      <c r="O20" s="50"/>
      <c r="P20" s="1"/>
      <c r="Q20" s="1"/>
      <c r="R20" s="1"/>
      <c r="S20" s="1"/>
      <c r="T20" s="1"/>
    </row>
    <row r="21" spans="1:20" ht="12.75" x14ac:dyDescent="0.2">
      <c r="A21" s="53"/>
      <c r="B21" s="7"/>
      <c r="C21" s="16"/>
      <c r="D21" s="13"/>
      <c r="E21" s="8"/>
      <c r="F21" s="6"/>
      <c r="G21" s="6"/>
      <c r="H21" s="8"/>
      <c r="I21" s="14"/>
      <c r="J21" s="15"/>
      <c r="K21" s="15"/>
      <c r="L21" s="34"/>
      <c r="M21" s="51"/>
      <c r="N21" s="1"/>
      <c r="O21" s="1"/>
      <c r="P21" s="1"/>
      <c r="Q21" s="1"/>
      <c r="R21" s="1"/>
      <c r="S21" s="1"/>
      <c r="T21" s="1"/>
    </row>
    <row r="22" spans="1:20" ht="12.75" x14ac:dyDescent="0.2">
      <c r="A22" s="53"/>
      <c r="B22" s="7"/>
      <c r="C22" s="14"/>
      <c r="D22" s="16"/>
      <c r="E22" s="8"/>
      <c r="F22" s="6" t="s">
        <v>0</v>
      </c>
      <c r="G22" s="6" t="s">
        <v>0</v>
      </c>
      <c r="H22" s="8"/>
      <c r="I22" s="15"/>
      <c r="J22" s="15"/>
      <c r="K22" s="15"/>
      <c r="L22" s="34"/>
      <c r="M22" s="51"/>
      <c r="N22" s="1"/>
      <c r="O22" s="1"/>
      <c r="P22" s="1"/>
      <c r="Q22" s="1"/>
      <c r="R22" s="1"/>
      <c r="S22" s="1"/>
      <c r="T22" s="1"/>
    </row>
    <row r="23" spans="1:20" ht="13.5" thickBot="1" x14ac:dyDescent="0.25">
      <c r="A23" s="54"/>
      <c r="B23" s="17" t="s">
        <v>2</v>
      </c>
      <c r="C23" s="48" t="s">
        <v>3</v>
      </c>
      <c r="D23" s="19" t="s">
        <v>2</v>
      </c>
      <c r="E23" s="20" t="s">
        <v>4</v>
      </c>
      <c r="F23" s="18" t="s">
        <v>3</v>
      </c>
      <c r="G23" s="18" t="s">
        <v>3</v>
      </c>
      <c r="H23" s="20" t="s">
        <v>5</v>
      </c>
      <c r="I23" s="18" t="s">
        <v>6</v>
      </c>
      <c r="J23" s="18" t="s">
        <v>6</v>
      </c>
      <c r="K23" s="21">
        <v>0.15</v>
      </c>
      <c r="L23" s="1"/>
      <c r="M23" s="51"/>
      <c r="N23" s="2" t="s">
        <v>7</v>
      </c>
      <c r="O23" s="1"/>
      <c r="P23" s="1"/>
      <c r="Q23" s="1"/>
      <c r="R23" s="1"/>
      <c r="S23" s="1"/>
      <c r="T23" s="1"/>
    </row>
    <row r="24" spans="1:20" ht="14.25" thickTop="1" thickBot="1" x14ac:dyDescent="0.25">
      <c r="A24" s="49"/>
      <c r="B24" s="22">
        <v>1</v>
      </c>
      <c r="C24" s="23">
        <v>700</v>
      </c>
      <c r="D24" s="24" t="s">
        <v>8</v>
      </c>
      <c r="E24" s="25">
        <v>241.9</v>
      </c>
      <c r="F24" s="55">
        <f>N24</f>
        <v>110</v>
      </c>
      <c r="G24" s="23">
        <v>800</v>
      </c>
      <c r="H24" s="23">
        <v>696</v>
      </c>
      <c r="I24" s="26">
        <v>-0.5714285714285714</v>
      </c>
      <c r="J24" s="26">
        <v>6.1325471296595815</v>
      </c>
      <c r="K24" s="27" t="e">
        <v>#VALUE!</v>
      </c>
      <c r="L24" s="28"/>
      <c r="M24" s="29">
        <v>800</v>
      </c>
      <c r="N24" s="45">
        <v>110</v>
      </c>
      <c r="O24" s="30">
        <v>5</v>
      </c>
      <c r="P24" s="3">
        <v>0</v>
      </c>
      <c r="Q24" s="31">
        <v>0.82040000000000002</v>
      </c>
      <c r="R24" s="32">
        <v>0.7</v>
      </c>
      <c r="S24" s="1">
        <v>1000</v>
      </c>
      <c r="T24" s="33">
        <v>820.4</v>
      </c>
    </row>
    <row r="25" spans="1:20" ht="13.5" thickBot="1" x14ac:dyDescent="0.25">
      <c r="A25" s="52" t="s">
        <v>13</v>
      </c>
      <c r="B25" s="22">
        <v>2</v>
      </c>
      <c r="C25" s="23">
        <v>7000</v>
      </c>
      <c r="D25" s="24" t="s">
        <v>8</v>
      </c>
      <c r="E25" s="25">
        <v>77.400000000000006</v>
      </c>
      <c r="F25" s="56"/>
      <c r="G25" s="23">
        <v>7200</v>
      </c>
      <c r="H25" s="23">
        <v>7096</v>
      </c>
      <c r="I25" s="26">
        <v>1.3714285714285714</v>
      </c>
      <c r="J25" s="26">
        <v>6.2846712843275423</v>
      </c>
      <c r="K25" s="27" t="e">
        <v>#VALUE!</v>
      </c>
      <c r="L25" s="34"/>
      <c r="M25" s="29">
        <v>7200</v>
      </c>
      <c r="N25" s="35">
        <v>104</v>
      </c>
      <c r="O25" s="36">
        <v>5</v>
      </c>
      <c r="P25" s="3">
        <v>0</v>
      </c>
      <c r="Q25" s="31">
        <v>6.9059999999999997</v>
      </c>
      <c r="R25" s="32">
        <v>7</v>
      </c>
      <c r="S25" s="1">
        <v>1000</v>
      </c>
      <c r="T25" s="33">
        <v>6906</v>
      </c>
    </row>
    <row r="26" spans="1:20" ht="13.5" thickBot="1" x14ac:dyDescent="0.25">
      <c r="A26" s="3"/>
      <c r="B26" s="22">
        <v>3</v>
      </c>
      <c r="C26" s="23">
        <v>70000</v>
      </c>
      <c r="D26" s="24" t="s">
        <v>10</v>
      </c>
      <c r="E26" s="25">
        <v>167.3</v>
      </c>
      <c r="F26" s="57"/>
      <c r="G26" s="23">
        <v>70100</v>
      </c>
      <c r="H26" s="23">
        <v>69996</v>
      </c>
      <c r="I26" s="26">
        <v>-5.7142857142857143E-3</v>
      </c>
      <c r="J26" s="26">
        <v>5.100004081630571</v>
      </c>
      <c r="K26" s="27" t="e">
        <v>#VALUE!</v>
      </c>
      <c r="L26" s="34"/>
      <c r="M26" s="37">
        <v>70100</v>
      </c>
      <c r="N26" s="35">
        <v>104</v>
      </c>
      <c r="O26" s="36">
        <v>4</v>
      </c>
      <c r="P26" s="38">
        <v>0</v>
      </c>
      <c r="Q26" s="31">
        <v>70.12</v>
      </c>
      <c r="R26" s="32">
        <v>70</v>
      </c>
      <c r="S26" s="1">
        <v>1000</v>
      </c>
      <c r="T26" s="33">
        <v>70120</v>
      </c>
    </row>
    <row r="27" spans="1:20" ht="13.5" thickBot="1" x14ac:dyDescent="0.25">
      <c r="A27" s="3"/>
      <c r="B27" s="22">
        <v>4</v>
      </c>
      <c r="C27" s="23">
        <v>700000</v>
      </c>
      <c r="D27" s="39" t="s">
        <v>10</v>
      </c>
      <c r="E27" s="25">
        <v>53.7</v>
      </c>
      <c r="F27" s="27"/>
      <c r="G27" s="23">
        <v>690000</v>
      </c>
      <c r="H27" s="27"/>
      <c r="I27" s="26">
        <v>-1.4285714285714286</v>
      </c>
      <c r="J27" s="26">
        <v>5.3474482135195736</v>
      </c>
      <c r="K27" s="27" t="e">
        <v>#VALUE!</v>
      </c>
      <c r="L27" s="34"/>
      <c r="M27" s="37">
        <v>690000</v>
      </c>
      <c r="N27" s="40"/>
      <c r="O27" s="36">
        <v>4</v>
      </c>
      <c r="P27" s="3">
        <v>5</v>
      </c>
      <c r="Q27" s="31">
        <v>0.70920000000000005</v>
      </c>
      <c r="R27" s="32">
        <v>0.7</v>
      </c>
      <c r="S27" s="1">
        <v>1000000</v>
      </c>
      <c r="T27" s="33">
        <v>709200</v>
      </c>
    </row>
    <row r="28" spans="1:20" ht="13.5" thickBot="1" x14ac:dyDescent="0.25">
      <c r="A28" s="3"/>
      <c r="B28" s="22">
        <v>5</v>
      </c>
      <c r="C28" s="23">
        <v>7000000</v>
      </c>
      <c r="D28" s="39" t="s">
        <v>11</v>
      </c>
      <c r="E28" s="25">
        <v>364.1</v>
      </c>
      <c r="F28" s="27"/>
      <c r="G28" s="23">
        <v>6900000</v>
      </c>
      <c r="H28" s="27"/>
      <c r="I28" s="26">
        <v>-1.4285714285714286</v>
      </c>
      <c r="J28" s="26">
        <v>5.3474482135195736</v>
      </c>
      <c r="K28" s="27" t="e">
        <v>#VALUE!</v>
      </c>
      <c r="L28" s="34"/>
      <c r="M28" s="37">
        <v>6900000</v>
      </c>
      <c r="N28" s="40"/>
      <c r="O28" s="36">
        <v>4</v>
      </c>
      <c r="P28" s="3"/>
      <c r="Q28" s="31">
        <v>7.5069999999999997</v>
      </c>
      <c r="R28" s="32">
        <v>7</v>
      </c>
      <c r="S28" s="1">
        <v>1000000</v>
      </c>
      <c r="T28" s="33">
        <v>7507000</v>
      </c>
    </row>
    <row r="29" spans="1:20" ht="13.5" thickBot="1" x14ac:dyDescent="0.25">
      <c r="A29" s="3"/>
      <c r="B29" s="22">
        <v>6</v>
      </c>
      <c r="C29" s="23">
        <v>70000000</v>
      </c>
      <c r="D29" s="39" t="s">
        <v>11</v>
      </c>
      <c r="E29" s="25">
        <v>116.7</v>
      </c>
      <c r="F29" s="27"/>
      <c r="G29" s="23">
        <v>68000000</v>
      </c>
      <c r="H29" s="27"/>
      <c r="I29" s="26">
        <v>-2.8571428571428572</v>
      </c>
      <c r="J29" s="26">
        <v>6.015614438310072</v>
      </c>
      <c r="K29" s="27" t="e">
        <v>#VALUE!</v>
      </c>
      <c r="L29" s="34"/>
      <c r="M29" s="37">
        <v>68000000</v>
      </c>
      <c r="N29" s="40"/>
      <c r="O29" s="36">
        <v>4</v>
      </c>
      <c r="P29" s="3"/>
      <c r="Q29" s="31">
        <v>71.7</v>
      </c>
      <c r="R29" s="32">
        <v>70</v>
      </c>
      <c r="S29" s="1">
        <v>1000000</v>
      </c>
      <c r="T29" s="33">
        <v>71700000</v>
      </c>
    </row>
    <row r="30" spans="1:20" ht="13.5" thickBot="1" x14ac:dyDescent="0.25">
      <c r="A30" s="3"/>
      <c r="B30" s="22">
        <v>7</v>
      </c>
      <c r="C30" s="23">
        <v>700000000</v>
      </c>
      <c r="D30" s="39" t="s">
        <v>12</v>
      </c>
      <c r="E30" s="25">
        <v>240.9</v>
      </c>
      <c r="F30" s="27"/>
      <c r="G30" s="23">
        <v>700000000</v>
      </c>
      <c r="H30" s="27"/>
      <c r="I30" s="26">
        <v>0</v>
      </c>
      <c r="J30" s="26">
        <v>5.0999999999999996</v>
      </c>
      <c r="K30" s="27" t="e">
        <v>#VALUE!</v>
      </c>
      <c r="L30" s="34"/>
      <c r="M30" s="37">
        <v>700000000</v>
      </c>
      <c r="N30" s="40"/>
      <c r="O30" s="36">
        <v>4</v>
      </c>
      <c r="P30" s="3"/>
      <c r="Q30" s="31">
        <v>0.70069999999999999</v>
      </c>
      <c r="R30" s="32">
        <v>0.7</v>
      </c>
      <c r="S30" s="4">
        <v>1000000000</v>
      </c>
      <c r="T30" s="33">
        <v>700700000</v>
      </c>
    </row>
    <row r="31" spans="1:20" ht="13.5" thickBot="1" x14ac:dyDescent="0.25">
      <c r="A31" s="41"/>
      <c r="B31" s="22">
        <v>8</v>
      </c>
      <c r="C31" s="23">
        <v>7000000000</v>
      </c>
      <c r="D31" s="39" t="s">
        <v>12</v>
      </c>
      <c r="E31" s="25">
        <v>77.5</v>
      </c>
      <c r="F31" s="27"/>
      <c r="G31" s="23">
        <v>7100000000</v>
      </c>
      <c r="H31" s="27"/>
      <c r="I31" s="26">
        <v>1.4285714285714286</v>
      </c>
      <c r="J31" s="26">
        <v>5.3474482135195736</v>
      </c>
      <c r="K31" s="27" t="e">
        <v>#VALUE!</v>
      </c>
      <c r="L31" s="42"/>
      <c r="M31" s="37">
        <v>7100000000</v>
      </c>
      <c r="N31" s="43"/>
      <c r="O31" s="44">
        <v>4</v>
      </c>
      <c r="P31" s="41"/>
      <c r="Q31" s="31">
        <v>6.9909999999999997</v>
      </c>
      <c r="R31" s="32">
        <v>7</v>
      </c>
      <c r="S31" s="4">
        <v>1000000000</v>
      </c>
      <c r="T31" s="33">
        <v>6991000000</v>
      </c>
    </row>
    <row r="34" spans="1:20" ht="12" thickBot="1" x14ac:dyDescent="0.25"/>
    <row r="35" spans="1:20" ht="13.5" thickBot="1" x14ac:dyDescent="0.25">
      <c r="A35" s="53"/>
      <c r="B35" s="5"/>
      <c r="C35" s="46" t="s">
        <v>0</v>
      </c>
      <c r="D35" s="5"/>
      <c r="E35" s="47"/>
      <c r="F35" s="9" t="s">
        <v>1</v>
      </c>
      <c r="G35" s="10"/>
      <c r="H35" s="47"/>
      <c r="I35" s="11"/>
      <c r="J35" s="12"/>
      <c r="K35" s="12"/>
      <c r="L35" s="1"/>
      <c r="M35" s="51"/>
      <c r="N35" s="1"/>
      <c r="O35" s="50"/>
      <c r="P35" s="1"/>
      <c r="Q35" s="1"/>
      <c r="R35" s="1"/>
      <c r="S35" s="1"/>
      <c r="T35" s="1"/>
    </row>
    <row r="36" spans="1:20" ht="12.75" x14ac:dyDescent="0.2">
      <c r="A36" s="53"/>
      <c r="B36" s="7"/>
      <c r="C36" s="16"/>
      <c r="D36" s="13"/>
      <c r="E36" s="8"/>
      <c r="F36" s="6"/>
      <c r="G36" s="6"/>
      <c r="H36" s="8"/>
      <c r="I36" s="14"/>
      <c r="J36" s="15"/>
      <c r="K36" s="15"/>
      <c r="L36" s="34"/>
      <c r="M36" s="51"/>
      <c r="N36" s="1"/>
      <c r="O36" s="1"/>
      <c r="P36" s="1"/>
      <c r="Q36" s="1"/>
      <c r="R36" s="1"/>
      <c r="S36" s="1"/>
      <c r="T36" s="1"/>
    </row>
    <row r="37" spans="1:20" ht="12.75" x14ac:dyDescent="0.2">
      <c r="A37" s="53"/>
      <c r="B37" s="7"/>
      <c r="C37" s="14"/>
      <c r="D37" s="16"/>
      <c r="E37" s="8"/>
      <c r="F37" s="6" t="s">
        <v>0</v>
      </c>
      <c r="G37" s="6" t="s">
        <v>0</v>
      </c>
      <c r="H37" s="8"/>
      <c r="I37" s="15"/>
      <c r="J37" s="15"/>
      <c r="K37" s="15"/>
      <c r="L37" s="34"/>
      <c r="M37" s="51"/>
      <c r="N37" s="1"/>
      <c r="O37" s="1"/>
      <c r="P37" s="1"/>
      <c r="Q37" s="1"/>
      <c r="R37" s="1"/>
      <c r="S37" s="1"/>
      <c r="T37" s="1"/>
    </row>
    <row r="38" spans="1:20" ht="13.5" thickBot="1" x14ac:dyDescent="0.25">
      <c r="A38" s="54"/>
      <c r="B38" s="17" t="s">
        <v>2</v>
      </c>
      <c r="C38" s="48" t="s">
        <v>3</v>
      </c>
      <c r="D38" s="19" t="s">
        <v>2</v>
      </c>
      <c r="E38" s="20" t="s">
        <v>4</v>
      </c>
      <c r="F38" s="18" t="s">
        <v>3</v>
      </c>
      <c r="G38" s="18" t="s">
        <v>3</v>
      </c>
      <c r="H38" s="20" t="s">
        <v>5</v>
      </c>
      <c r="I38" s="18" t="s">
        <v>6</v>
      </c>
      <c r="J38" s="18" t="s">
        <v>6</v>
      </c>
      <c r="K38" s="21">
        <v>0.15</v>
      </c>
      <c r="L38" s="1"/>
      <c r="M38" s="51"/>
      <c r="N38" s="2" t="s">
        <v>7</v>
      </c>
      <c r="O38" s="1"/>
      <c r="P38" s="1"/>
      <c r="Q38" s="1"/>
      <c r="R38" s="1"/>
      <c r="S38" s="1"/>
      <c r="T38" s="1"/>
    </row>
    <row r="39" spans="1:20" ht="14.25" thickTop="1" thickBot="1" x14ac:dyDescent="0.25">
      <c r="A39" s="49"/>
      <c r="B39" s="22">
        <v>1</v>
      </c>
      <c r="C39" s="23">
        <v>700</v>
      </c>
      <c r="D39" s="24" t="s">
        <v>8</v>
      </c>
      <c r="E39" s="25">
        <v>241.9</v>
      </c>
      <c r="F39" s="55">
        <f>N39</f>
        <v>110</v>
      </c>
      <c r="G39" s="23">
        <v>800</v>
      </c>
      <c r="H39" s="23">
        <v>696</v>
      </c>
      <c r="I39" s="26">
        <v>-0.5714285714285714</v>
      </c>
      <c r="J39" s="26">
        <v>6.1325471296595815</v>
      </c>
      <c r="K39" s="27" t="e">
        <v>#VALUE!</v>
      </c>
      <c r="L39" s="28"/>
      <c r="M39" s="29">
        <v>800</v>
      </c>
      <c r="N39" s="45">
        <v>110</v>
      </c>
      <c r="O39" s="30">
        <v>5</v>
      </c>
      <c r="P39" s="3">
        <v>0</v>
      </c>
      <c r="Q39" s="31">
        <v>0.82040000000000002</v>
      </c>
      <c r="R39" s="32">
        <v>0.7</v>
      </c>
      <c r="S39" s="1">
        <v>1000</v>
      </c>
      <c r="T39" s="33">
        <v>820.4</v>
      </c>
    </row>
    <row r="40" spans="1:20" ht="13.5" thickBot="1" x14ac:dyDescent="0.25">
      <c r="A40" s="52" t="s">
        <v>13</v>
      </c>
      <c r="B40" s="22">
        <v>2</v>
      </c>
      <c r="C40" s="23">
        <v>7000</v>
      </c>
      <c r="D40" s="24" t="s">
        <v>8</v>
      </c>
      <c r="E40" s="25">
        <v>77.400000000000006</v>
      </c>
      <c r="F40" s="56"/>
      <c r="G40" s="23">
        <v>7200</v>
      </c>
      <c r="H40" s="23">
        <v>7096</v>
      </c>
      <c r="I40" s="26">
        <v>1.3714285714285714</v>
      </c>
      <c r="J40" s="26">
        <v>6.2846712843275423</v>
      </c>
      <c r="K40" s="27" t="e">
        <v>#VALUE!</v>
      </c>
      <c r="L40" s="34"/>
      <c r="M40" s="29">
        <v>7200</v>
      </c>
      <c r="N40" s="35">
        <v>104</v>
      </c>
      <c r="O40" s="36">
        <v>5</v>
      </c>
      <c r="P40" s="3">
        <v>0</v>
      </c>
      <c r="Q40" s="31">
        <v>6.9059999999999997</v>
      </c>
      <c r="R40" s="32">
        <v>7</v>
      </c>
      <c r="S40" s="1">
        <v>1000</v>
      </c>
      <c r="T40" s="33">
        <v>6906</v>
      </c>
    </row>
    <row r="41" spans="1:20" ht="13.5" thickBot="1" x14ac:dyDescent="0.25">
      <c r="A41" s="3"/>
      <c r="B41" s="22">
        <v>3</v>
      </c>
      <c r="C41" s="23">
        <v>70000</v>
      </c>
      <c r="D41" s="24" t="s">
        <v>10</v>
      </c>
      <c r="E41" s="25">
        <v>167.3</v>
      </c>
      <c r="F41" s="57"/>
      <c r="G41" s="23">
        <v>70100</v>
      </c>
      <c r="H41" s="23">
        <v>69996</v>
      </c>
      <c r="I41" s="26">
        <v>-5.7142857142857143E-3</v>
      </c>
      <c r="J41" s="26">
        <v>5.100004081630571</v>
      </c>
      <c r="K41" s="27" t="e">
        <v>#VALUE!</v>
      </c>
      <c r="L41" s="34"/>
      <c r="M41" s="37">
        <v>70100</v>
      </c>
      <c r="N41" s="35">
        <v>104</v>
      </c>
      <c r="O41" s="36">
        <v>4</v>
      </c>
      <c r="P41" s="38">
        <v>0</v>
      </c>
      <c r="Q41" s="31">
        <v>70.12</v>
      </c>
      <c r="R41" s="32">
        <v>70</v>
      </c>
      <c r="S41" s="1">
        <v>1000</v>
      </c>
      <c r="T41" s="33">
        <v>70120</v>
      </c>
    </row>
    <row r="42" spans="1:20" ht="13.5" thickBot="1" x14ac:dyDescent="0.25">
      <c r="A42" s="3"/>
      <c r="B42" s="22">
        <v>4</v>
      </c>
      <c r="C42" s="23">
        <v>700000</v>
      </c>
      <c r="D42" s="39" t="s">
        <v>10</v>
      </c>
      <c r="E42" s="25">
        <v>53.7</v>
      </c>
      <c r="F42" s="27"/>
      <c r="G42" s="23">
        <v>690000</v>
      </c>
      <c r="H42" s="27"/>
      <c r="I42" s="26">
        <v>-1.4285714285714286</v>
      </c>
      <c r="J42" s="26">
        <v>5.3474482135195736</v>
      </c>
      <c r="K42" s="27" t="e">
        <v>#VALUE!</v>
      </c>
      <c r="L42" s="34"/>
      <c r="M42" s="37">
        <v>690000</v>
      </c>
      <c r="N42" s="40"/>
      <c r="O42" s="36">
        <v>4</v>
      </c>
      <c r="P42" s="3">
        <v>5</v>
      </c>
      <c r="Q42" s="31">
        <v>0.70920000000000005</v>
      </c>
      <c r="R42" s="32">
        <v>0.7</v>
      </c>
      <c r="S42" s="1">
        <v>1000000</v>
      </c>
      <c r="T42" s="33">
        <v>709200</v>
      </c>
    </row>
    <row r="43" spans="1:20" ht="13.5" thickBot="1" x14ac:dyDescent="0.25">
      <c r="A43" s="3"/>
      <c r="B43" s="22">
        <v>5</v>
      </c>
      <c r="C43" s="23">
        <v>7000000</v>
      </c>
      <c r="D43" s="39" t="s">
        <v>11</v>
      </c>
      <c r="E43" s="25">
        <v>364.1</v>
      </c>
      <c r="F43" s="27"/>
      <c r="G43" s="23">
        <v>6900000</v>
      </c>
      <c r="H43" s="27"/>
      <c r="I43" s="26">
        <v>-1.4285714285714286</v>
      </c>
      <c r="J43" s="26">
        <v>5.3474482135195736</v>
      </c>
      <c r="K43" s="27" t="e">
        <v>#VALUE!</v>
      </c>
      <c r="L43" s="34"/>
      <c r="M43" s="37">
        <v>6900000</v>
      </c>
      <c r="N43" s="40"/>
      <c r="O43" s="36">
        <v>4</v>
      </c>
      <c r="P43" s="3"/>
      <c r="Q43" s="31">
        <v>7.5069999999999997</v>
      </c>
      <c r="R43" s="32">
        <v>7</v>
      </c>
      <c r="S43" s="1">
        <v>1000000</v>
      </c>
      <c r="T43" s="33">
        <v>7507000</v>
      </c>
    </row>
    <row r="44" spans="1:20" ht="13.5" thickBot="1" x14ac:dyDescent="0.25">
      <c r="A44" s="3"/>
      <c r="B44" s="22">
        <v>6</v>
      </c>
      <c r="C44" s="23">
        <v>70000000</v>
      </c>
      <c r="D44" s="39" t="s">
        <v>11</v>
      </c>
      <c r="E44" s="25">
        <v>116.7</v>
      </c>
      <c r="F44" s="27"/>
      <c r="G44" s="23">
        <v>68000000</v>
      </c>
      <c r="H44" s="27"/>
      <c r="I44" s="26">
        <v>-2.8571428571428572</v>
      </c>
      <c r="J44" s="26">
        <v>6.015614438310072</v>
      </c>
      <c r="K44" s="27" t="e">
        <v>#VALUE!</v>
      </c>
      <c r="L44" s="34"/>
      <c r="M44" s="37">
        <v>68000000</v>
      </c>
      <c r="N44" s="40"/>
      <c r="O44" s="36">
        <v>4</v>
      </c>
      <c r="P44" s="3"/>
      <c r="Q44" s="31">
        <v>71.7</v>
      </c>
      <c r="R44" s="32">
        <v>70</v>
      </c>
      <c r="S44" s="1">
        <v>1000000</v>
      </c>
      <c r="T44" s="33">
        <v>71700000</v>
      </c>
    </row>
    <row r="45" spans="1:20" ht="13.5" thickBot="1" x14ac:dyDescent="0.25">
      <c r="A45" s="3"/>
      <c r="B45" s="22">
        <v>7</v>
      </c>
      <c r="C45" s="23">
        <v>700000000</v>
      </c>
      <c r="D45" s="39" t="s">
        <v>12</v>
      </c>
      <c r="E45" s="25">
        <v>240.9</v>
      </c>
      <c r="F45" s="27"/>
      <c r="G45" s="23">
        <v>700000000</v>
      </c>
      <c r="H45" s="27"/>
      <c r="I45" s="26">
        <v>0</v>
      </c>
      <c r="J45" s="26">
        <v>5.0999999999999996</v>
      </c>
      <c r="K45" s="27" t="e">
        <v>#VALUE!</v>
      </c>
      <c r="L45" s="34"/>
      <c r="M45" s="37">
        <v>700000000</v>
      </c>
      <c r="N45" s="40"/>
      <c r="O45" s="36">
        <v>4</v>
      </c>
      <c r="P45" s="3"/>
      <c r="Q45" s="31">
        <v>0.70069999999999999</v>
      </c>
      <c r="R45" s="32">
        <v>0.7</v>
      </c>
      <c r="S45" s="4">
        <v>1000000000</v>
      </c>
      <c r="T45" s="33">
        <v>700700000</v>
      </c>
    </row>
    <row r="46" spans="1:20" ht="13.5" thickBot="1" x14ac:dyDescent="0.25">
      <c r="A46" s="41"/>
      <c r="B46" s="22">
        <v>8</v>
      </c>
      <c r="C46" s="23">
        <v>7000000000</v>
      </c>
      <c r="D46" s="39" t="s">
        <v>12</v>
      </c>
      <c r="E46" s="25">
        <v>77.5</v>
      </c>
      <c r="F46" s="27"/>
      <c r="G46" s="23">
        <v>7100000000</v>
      </c>
      <c r="H46" s="27"/>
      <c r="I46" s="26">
        <v>1.4285714285714286</v>
      </c>
      <c r="J46" s="26">
        <v>5.3474482135195736</v>
      </c>
      <c r="K46" s="27" t="e">
        <v>#VALUE!</v>
      </c>
      <c r="L46" s="42"/>
      <c r="M46" s="37">
        <v>7100000000</v>
      </c>
      <c r="N46" s="43"/>
      <c r="O46" s="44">
        <v>4</v>
      </c>
      <c r="P46" s="41"/>
      <c r="Q46" s="31">
        <v>6.9909999999999997</v>
      </c>
      <c r="R46" s="32">
        <v>7</v>
      </c>
      <c r="S46" s="4">
        <v>1000000000</v>
      </c>
      <c r="T46" s="33">
        <v>6991000000</v>
      </c>
    </row>
    <row r="49" spans="1:20" ht="12" thickBot="1" x14ac:dyDescent="0.25"/>
    <row r="50" spans="1:20" ht="13.5" thickBot="1" x14ac:dyDescent="0.25">
      <c r="A50" s="53"/>
      <c r="B50" s="5"/>
      <c r="C50" s="46" t="s">
        <v>0</v>
      </c>
      <c r="D50" s="5"/>
      <c r="E50" s="47"/>
      <c r="F50" s="9" t="s">
        <v>1</v>
      </c>
      <c r="G50" s="10"/>
      <c r="H50" s="47"/>
      <c r="I50" s="11"/>
      <c r="J50" s="12"/>
      <c r="K50" s="12"/>
      <c r="L50" s="1"/>
      <c r="M50" s="51"/>
      <c r="N50" s="1"/>
      <c r="O50" s="50"/>
      <c r="P50" s="1"/>
      <c r="Q50" s="1"/>
      <c r="R50" s="1"/>
      <c r="S50" s="1"/>
      <c r="T50" s="1"/>
    </row>
    <row r="51" spans="1:20" ht="12.75" x14ac:dyDescent="0.2">
      <c r="A51" s="53"/>
      <c r="B51" s="7"/>
      <c r="C51" s="16"/>
      <c r="D51" s="13"/>
      <c r="E51" s="8"/>
      <c r="F51" s="6"/>
      <c r="G51" s="6"/>
      <c r="H51" s="8"/>
      <c r="I51" s="14"/>
      <c r="J51" s="15"/>
      <c r="K51" s="15"/>
      <c r="L51" s="34"/>
      <c r="M51" s="51"/>
      <c r="N51" s="1"/>
      <c r="O51" s="1"/>
      <c r="P51" s="1"/>
      <c r="Q51" s="1"/>
      <c r="R51" s="1"/>
      <c r="S51" s="1"/>
      <c r="T51" s="1"/>
    </row>
    <row r="52" spans="1:20" ht="12.75" x14ac:dyDescent="0.2">
      <c r="A52" s="53"/>
      <c r="B52" s="7"/>
      <c r="C52" s="14"/>
      <c r="D52" s="16"/>
      <c r="E52" s="8"/>
      <c r="F52" s="6" t="s">
        <v>0</v>
      </c>
      <c r="G52" s="6" t="s">
        <v>0</v>
      </c>
      <c r="H52" s="8"/>
      <c r="I52" s="15"/>
      <c r="J52" s="15"/>
      <c r="K52" s="15"/>
      <c r="L52" s="34"/>
      <c r="M52" s="51"/>
      <c r="N52" s="1"/>
      <c r="O52" s="1"/>
      <c r="P52" s="1"/>
      <c r="Q52" s="1"/>
      <c r="R52" s="1"/>
      <c r="S52" s="1"/>
      <c r="T52" s="1"/>
    </row>
    <row r="53" spans="1:20" ht="13.5" thickBot="1" x14ac:dyDescent="0.25">
      <c r="A53" s="54"/>
      <c r="B53" s="17" t="s">
        <v>2</v>
      </c>
      <c r="C53" s="48" t="s">
        <v>3</v>
      </c>
      <c r="D53" s="19" t="s">
        <v>2</v>
      </c>
      <c r="E53" s="20" t="s">
        <v>4</v>
      </c>
      <c r="F53" s="18" t="s">
        <v>3</v>
      </c>
      <c r="G53" s="18" t="s">
        <v>3</v>
      </c>
      <c r="H53" s="20" t="s">
        <v>5</v>
      </c>
      <c r="I53" s="18" t="s">
        <v>6</v>
      </c>
      <c r="J53" s="18" t="s">
        <v>6</v>
      </c>
      <c r="K53" s="21">
        <v>0.15</v>
      </c>
      <c r="L53" s="1"/>
      <c r="M53" s="51"/>
      <c r="N53" s="2" t="s">
        <v>7</v>
      </c>
      <c r="O53" s="1"/>
      <c r="P53" s="1"/>
      <c r="Q53" s="1"/>
      <c r="R53" s="1"/>
      <c r="S53" s="1"/>
      <c r="T53" s="1"/>
    </row>
    <row r="54" spans="1:20" ht="14.25" thickTop="1" thickBot="1" x14ac:dyDescent="0.25">
      <c r="A54" s="49"/>
      <c r="B54" s="22">
        <v>1</v>
      </c>
      <c r="C54" s="23">
        <v>700</v>
      </c>
      <c r="D54" s="24" t="s">
        <v>8</v>
      </c>
      <c r="E54" s="25">
        <v>241.9</v>
      </c>
      <c r="F54" s="55">
        <f>N54</f>
        <v>110</v>
      </c>
      <c r="G54" s="23">
        <v>800</v>
      </c>
      <c r="H54" s="23">
        <v>696</v>
      </c>
      <c r="I54" s="26">
        <v>-0.5714285714285714</v>
      </c>
      <c r="J54" s="26">
        <v>6.1325471296595815</v>
      </c>
      <c r="K54" s="27" t="e">
        <v>#VALUE!</v>
      </c>
      <c r="L54" s="28"/>
      <c r="M54" s="29">
        <v>800</v>
      </c>
      <c r="N54" s="45">
        <v>110</v>
      </c>
      <c r="O54" s="30">
        <v>5</v>
      </c>
      <c r="P54" s="3">
        <v>0</v>
      </c>
      <c r="Q54" s="31">
        <v>0.82040000000000002</v>
      </c>
      <c r="R54" s="32">
        <v>0.7</v>
      </c>
      <c r="S54" s="1">
        <v>1000</v>
      </c>
      <c r="T54" s="33">
        <v>820.4</v>
      </c>
    </row>
    <row r="55" spans="1:20" ht="13.5" thickBot="1" x14ac:dyDescent="0.25">
      <c r="A55" s="52" t="s">
        <v>13</v>
      </c>
      <c r="B55" s="22">
        <v>2</v>
      </c>
      <c r="C55" s="23">
        <v>7000</v>
      </c>
      <c r="D55" s="24" t="s">
        <v>8</v>
      </c>
      <c r="E55" s="25">
        <v>77.400000000000006</v>
      </c>
      <c r="F55" s="56"/>
      <c r="G55" s="23">
        <v>7200</v>
      </c>
      <c r="H55" s="23">
        <v>7096</v>
      </c>
      <c r="I55" s="26">
        <v>1.3714285714285714</v>
      </c>
      <c r="J55" s="26">
        <v>6.2846712843275423</v>
      </c>
      <c r="K55" s="27" t="e">
        <v>#VALUE!</v>
      </c>
      <c r="L55" s="34"/>
      <c r="M55" s="29">
        <v>7200</v>
      </c>
      <c r="N55" s="35">
        <v>104</v>
      </c>
      <c r="O55" s="36">
        <v>5</v>
      </c>
      <c r="P55" s="3">
        <v>0</v>
      </c>
      <c r="Q55" s="31">
        <v>6.9059999999999997</v>
      </c>
      <c r="R55" s="32">
        <v>7</v>
      </c>
      <c r="S55" s="1">
        <v>1000</v>
      </c>
      <c r="T55" s="33">
        <v>6906</v>
      </c>
    </row>
    <row r="56" spans="1:20" ht="13.5" thickBot="1" x14ac:dyDescent="0.25">
      <c r="A56" s="3"/>
      <c r="B56" s="22">
        <v>3</v>
      </c>
      <c r="C56" s="23">
        <v>70000</v>
      </c>
      <c r="D56" s="24" t="s">
        <v>10</v>
      </c>
      <c r="E56" s="25">
        <v>167.3</v>
      </c>
      <c r="F56" s="57"/>
      <c r="G56" s="23">
        <v>70100</v>
      </c>
      <c r="H56" s="23">
        <v>69996</v>
      </c>
      <c r="I56" s="26">
        <v>-5.7142857142857143E-3</v>
      </c>
      <c r="J56" s="26">
        <v>5.100004081630571</v>
      </c>
      <c r="K56" s="27" t="e">
        <v>#VALUE!</v>
      </c>
      <c r="L56" s="34"/>
      <c r="M56" s="37">
        <v>70100</v>
      </c>
      <c r="N56" s="35">
        <v>104</v>
      </c>
      <c r="O56" s="36">
        <v>4</v>
      </c>
      <c r="P56" s="38">
        <v>0</v>
      </c>
      <c r="Q56" s="31">
        <v>70.12</v>
      </c>
      <c r="R56" s="32">
        <v>70</v>
      </c>
      <c r="S56" s="1">
        <v>1000</v>
      </c>
      <c r="T56" s="33">
        <v>70120</v>
      </c>
    </row>
    <row r="57" spans="1:20" ht="13.5" thickBot="1" x14ac:dyDescent="0.25">
      <c r="A57" s="3"/>
      <c r="B57" s="22">
        <v>4</v>
      </c>
      <c r="C57" s="23">
        <v>700000</v>
      </c>
      <c r="D57" s="39" t="s">
        <v>10</v>
      </c>
      <c r="E57" s="25">
        <v>53.7</v>
      </c>
      <c r="F57" s="27"/>
      <c r="G57" s="23">
        <v>690000</v>
      </c>
      <c r="H57" s="27"/>
      <c r="I57" s="26">
        <v>-1.4285714285714286</v>
      </c>
      <c r="J57" s="26">
        <v>5.3474482135195736</v>
      </c>
      <c r="K57" s="27" t="e">
        <v>#VALUE!</v>
      </c>
      <c r="L57" s="34"/>
      <c r="M57" s="37">
        <v>690000</v>
      </c>
      <c r="N57" s="40"/>
      <c r="O57" s="36">
        <v>4</v>
      </c>
      <c r="P57" s="3">
        <v>5</v>
      </c>
      <c r="Q57" s="31">
        <v>0.70920000000000005</v>
      </c>
      <c r="R57" s="32">
        <v>0.7</v>
      </c>
      <c r="S57" s="1">
        <v>1000000</v>
      </c>
      <c r="T57" s="33">
        <v>709200</v>
      </c>
    </row>
    <row r="58" spans="1:20" ht="13.5" thickBot="1" x14ac:dyDescent="0.25">
      <c r="A58" s="3"/>
      <c r="B58" s="22">
        <v>5</v>
      </c>
      <c r="C58" s="23">
        <v>7000000</v>
      </c>
      <c r="D58" s="39" t="s">
        <v>11</v>
      </c>
      <c r="E58" s="25">
        <v>364.1</v>
      </c>
      <c r="F58" s="27"/>
      <c r="G58" s="23">
        <v>6900000</v>
      </c>
      <c r="H58" s="27"/>
      <c r="I58" s="26">
        <v>-1.4285714285714286</v>
      </c>
      <c r="J58" s="26">
        <v>5.3474482135195736</v>
      </c>
      <c r="K58" s="27" t="e">
        <v>#VALUE!</v>
      </c>
      <c r="L58" s="34"/>
      <c r="M58" s="37">
        <v>6900000</v>
      </c>
      <c r="N58" s="40"/>
      <c r="O58" s="36">
        <v>4</v>
      </c>
      <c r="P58" s="3"/>
      <c r="Q58" s="31">
        <v>7.5069999999999997</v>
      </c>
      <c r="R58" s="32">
        <v>7</v>
      </c>
      <c r="S58" s="1">
        <v>1000000</v>
      </c>
      <c r="T58" s="33">
        <v>7507000</v>
      </c>
    </row>
    <row r="59" spans="1:20" ht="13.5" thickBot="1" x14ac:dyDescent="0.25">
      <c r="A59" s="3"/>
      <c r="B59" s="22">
        <v>6</v>
      </c>
      <c r="C59" s="23">
        <v>70000000</v>
      </c>
      <c r="D59" s="39" t="s">
        <v>11</v>
      </c>
      <c r="E59" s="25">
        <v>116.7</v>
      </c>
      <c r="F59" s="27"/>
      <c r="G59" s="23">
        <v>68000000</v>
      </c>
      <c r="H59" s="27"/>
      <c r="I59" s="26">
        <v>-2.8571428571428572</v>
      </c>
      <c r="J59" s="26">
        <v>6.015614438310072</v>
      </c>
      <c r="K59" s="27" t="e">
        <v>#VALUE!</v>
      </c>
      <c r="L59" s="34"/>
      <c r="M59" s="37">
        <v>68000000</v>
      </c>
      <c r="N59" s="40"/>
      <c r="O59" s="36">
        <v>4</v>
      </c>
      <c r="P59" s="3"/>
      <c r="Q59" s="31">
        <v>71.7</v>
      </c>
      <c r="R59" s="32">
        <v>70</v>
      </c>
      <c r="S59" s="1">
        <v>1000000</v>
      </c>
      <c r="T59" s="33">
        <v>71700000</v>
      </c>
    </row>
    <row r="60" spans="1:20" ht="13.5" thickBot="1" x14ac:dyDescent="0.25">
      <c r="A60" s="3"/>
      <c r="B60" s="22">
        <v>7</v>
      </c>
      <c r="C60" s="23">
        <v>700000000</v>
      </c>
      <c r="D60" s="39" t="s">
        <v>12</v>
      </c>
      <c r="E60" s="25">
        <v>240.9</v>
      </c>
      <c r="F60" s="27"/>
      <c r="G60" s="23">
        <v>700000000</v>
      </c>
      <c r="H60" s="27"/>
      <c r="I60" s="26">
        <v>0</v>
      </c>
      <c r="J60" s="26">
        <v>5.0999999999999996</v>
      </c>
      <c r="K60" s="27" t="e">
        <v>#VALUE!</v>
      </c>
      <c r="L60" s="34"/>
      <c r="M60" s="37">
        <v>700000000</v>
      </c>
      <c r="N60" s="40"/>
      <c r="O60" s="36">
        <v>4</v>
      </c>
      <c r="P60" s="3"/>
      <c r="Q60" s="31">
        <v>0.70069999999999999</v>
      </c>
      <c r="R60" s="32">
        <v>0.7</v>
      </c>
      <c r="S60" s="4">
        <v>1000000000</v>
      </c>
      <c r="T60" s="33">
        <v>700700000</v>
      </c>
    </row>
    <row r="61" spans="1:20" ht="13.5" thickBot="1" x14ac:dyDescent="0.25">
      <c r="A61" s="41"/>
      <c r="B61" s="22">
        <v>8</v>
      </c>
      <c r="C61" s="23">
        <v>7000000000</v>
      </c>
      <c r="D61" s="39" t="s">
        <v>12</v>
      </c>
      <c r="E61" s="25">
        <v>77.5</v>
      </c>
      <c r="F61" s="27"/>
      <c r="G61" s="23">
        <v>7100000000</v>
      </c>
      <c r="H61" s="27"/>
      <c r="I61" s="26">
        <v>1.4285714285714286</v>
      </c>
      <c r="J61" s="26">
        <v>5.3474482135195736</v>
      </c>
      <c r="K61" s="27" t="e">
        <v>#VALUE!</v>
      </c>
      <c r="L61" s="42"/>
      <c r="M61" s="37">
        <v>7100000000</v>
      </c>
      <c r="N61" s="43"/>
      <c r="O61" s="44">
        <v>4</v>
      </c>
      <c r="P61" s="41"/>
      <c r="Q61" s="31">
        <v>6.9909999999999997</v>
      </c>
      <c r="R61" s="32">
        <v>7</v>
      </c>
      <c r="S61" s="4">
        <v>1000000000</v>
      </c>
      <c r="T61" s="33">
        <v>6991000000</v>
      </c>
    </row>
    <row r="64" spans="1:20" ht="12" thickBot="1" x14ac:dyDescent="0.25"/>
    <row r="65" spans="1:20" ht="13.5" thickBot="1" x14ac:dyDescent="0.25">
      <c r="A65" s="53"/>
      <c r="B65" s="5"/>
      <c r="C65" s="46" t="s">
        <v>0</v>
      </c>
      <c r="D65" s="5"/>
      <c r="E65" s="47"/>
      <c r="F65" s="9" t="s">
        <v>1</v>
      </c>
      <c r="G65" s="10"/>
      <c r="H65" s="47"/>
      <c r="I65" s="11"/>
      <c r="J65" s="12"/>
      <c r="K65" s="12"/>
      <c r="L65" s="1"/>
      <c r="M65" s="51"/>
      <c r="N65" s="1"/>
      <c r="O65" s="50"/>
      <c r="P65" s="1"/>
      <c r="Q65" s="1"/>
      <c r="R65" s="1"/>
      <c r="S65" s="1"/>
      <c r="T65" s="1"/>
    </row>
    <row r="66" spans="1:20" ht="12.75" x14ac:dyDescent="0.2">
      <c r="A66" s="53"/>
      <c r="B66" s="7"/>
      <c r="C66" s="16"/>
      <c r="D66" s="13"/>
      <c r="E66" s="8"/>
      <c r="F66" s="6"/>
      <c r="G66" s="6"/>
      <c r="H66" s="8"/>
      <c r="I66" s="14"/>
      <c r="J66" s="15"/>
      <c r="K66" s="15"/>
      <c r="L66" s="34"/>
      <c r="M66" s="51"/>
      <c r="N66" s="1"/>
      <c r="O66" s="1"/>
      <c r="P66" s="1"/>
      <c r="Q66" s="1"/>
      <c r="R66" s="1"/>
      <c r="S66" s="1"/>
      <c r="T66" s="1"/>
    </row>
    <row r="67" spans="1:20" ht="12.75" x14ac:dyDescent="0.2">
      <c r="A67" s="53"/>
      <c r="B67" s="7"/>
      <c r="C67" s="14"/>
      <c r="D67" s="16"/>
      <c r="E67" s="8"/>
      <c r="F67" s="6" t="s">
        <v>0</v>
      </c>
      <c r="G67" s="6" t="s">
        <v>0</v>
      </c>
      <c r="H67" s="8"/>
      <c r="I67" s="15"/>
      <c r="J67" s="15"/>
      <c r="K67" s="15"/>
      <c r="L67" s="34"/>
      <c r="M67" s="51"/>
      <c r="N67" s="1"/>
      <c r="O67" s="1"/>
      <c r="P67" s="1"/>
      <c r="Q67" s="1"/>
      <c r="R67" s="1"/>
      <c r="S67" s="1"/>
      <c r="T67" s="1"/>
    </row>
    <row r="68" spans="1:20" ht="13.5" thickBot="1" x14ac:dyDescent="0.25">
      <c r="A68" s="54"/>
      <c r="B68" s="17" t="s">
        <v>2</v>
      </c>
      <c r="C68" s="48" t="s">
        <v>3</v>
      </c>
      <c r="D68" s="19" t="s">
        <v>2</v>
      </c>
      <c r="E68" s="20" t="s">
        <v>4</v>
      </c>
      <c r="F68" s="18" t="s">
        <v>3</v>
      </c>
      <c r="G68" s="18" t="s">
        <v>3</v>
      </c>
      <c r="H68" s="20" t="s">
        <v>5</v>
      </c>
      <c r="I68" s="18" t="s">
        <v>6</v>
      </c>
      <c r="J68" s="18" t="s">
        <v>6</v>
      </c>
      <c r="K68" s="21">
        <v>0.15</v>
      </c>
      <c r="L68" s="1"/>
      <c r="M68" s="51"/>
      <c r="N68" s="2" t="s">
        <v>7</v>
      </c>
      <c r="O68" s="1"/>
      <c r="P68" s="1"/>
      <c r="Q68" s="1"/>
      <c r="R68" s="1"/>
      <c r="S68" s="1"/>
      <c r="T68" s="1"/>
    </row>
    <row r="69" spans="1:20" ht="14.25" thickTop="1" thickBot="1" x14ac:dyDescent="0.25">
      <c r="A69" s="49"/>
      <c r="B69" s="22">
        <v>1</v>
      </c>
      <c r="C69" s="23">
        <v>700</v>
      </c>
      <c r="D69" s="24" t="s">
        <v>8</v>
      </c>
      <c r="E69" s="25">
        <v>241.9</v>
      </c>
      <c r="F69" s="55">
        <f>N69</f>
        <v>110</v>
      </c>
      <c r="G69" s="23">
        <v>800</v>
      </c>
      <c r="H69" s="23">
        <v>696</v>
      </c>
      <c r="I69" s="26">
        <v>-0.5714285714285714</v>
      </c>
      <c r="J69" s="26">
        <v>6.1325471296595815</v>
      </c>
      <c r="K69" s="27" t="e">
        <v>#VALUE!</v>
      </c>
      <c r="L69" s="28"/>
      <c r="M69" s="29">
        <v>800</v>
      </c>
      <c r="N69" s="45">
        <v>110</v>
      </c>
      <c r="O69" s="30">
        <v>5</v>
      </c>
      <c r="P69" s="3">
        <v>0</v>
      </c>
      <c r="Q69" s="31">
        <v>0.82040000000000002</v>
      </c>
      <c r="R69" s="32">
        <v>0.7</v>
      </c>
      <c r="S69" s="1">
        <v>1000</v>
      </c>
      <c r="T69" s="33">
        <v>820.4</v>
      </c>
    </row>
    <row r="70" spans="1:20" ht="13.5" thickBot="1" x14ac:dyDescent="0.25">
      <c r="A70" s="52" t="s">
        <v>13</v>
      </c>
      <c r="B70" s="22">
        <v>2</v>
      </c>
      <c r="C70" s="23">
        <v>7000</v>
      </c>
      <c r="D70" s="24" t="s">
        <v>8</v>
      </c>
      <c r="E70" s="25">
        <v>77.400000000000006</v>
      </c>
      <c r="F70" s="56"/>
      <c r="G70" s="23">
        <v>7200</v>
      </c>
      <c r="H70" s="23">
        <v>7096</v>
      </c>
      <c r="I70" s="26">
        <v>1.3714285714285714</v>
      </c>
      <c r="J70" s="26">
        <v>6.2846712843275423</v>
      </c>
      <c r="K70" s="27" t="e">
        <v>#VALUE!</v>
      </c>
      <c r="L70" s="34"/>
      <c r="M70" s="29">
        <v>7200</v>
      </c>
      <c r="N70" s="35">
        <v>104</v>
      </c>
      <c r="O70" s="36">
        <v>5</v>
      </c>
      <c r="P70" s="3">
        <v>0</v>
      </c>
      <c r="Q70" s="31">
        <v>6.9059999999999997</v>
      </c>
      <c r="R70" s="32">
        <v>7</v>
      </c>
      <c r="S70" s="1">
        <v>1000</v>
      </c>
      <c r="T70" s="33">
        <v>6906</v>
      </c>
    </row>
    <row r="71" spans="1:20" ht="13.5" thickBot="1" x14ac:dyDescent="0.25">
      <c r="A71" s="3"/>
      <c r="B71" s="22">
        <v>3</v>
      </c>
      <c r="C71" s="23">
        <v>70000</v>
      </c>
      <c r="D71" s="24" t="s">
        <v>10</v>
      </c>
      <c r="E71" s="25">
        <v>167.3</v>
      </c>
      <c r="F71" s="57"/>
      <c r="G71" s="23">
        <v>70100</v>
      </c>
      <c r="H71" s="23">
        <v>69996</v>
      </c>
      <c r="I71" s="26">
        <v>-5.7142857142857143E-3</v>
      </c>
      <c r="J71" s="26">
        <v>5.100004081630571</v>
      </c>
      <c r="K71" s="27" t="e">
        <v>#VALUE!</v>
      </c>
      <c r="L71" s="34"/>
      <c r="M71" s="37">
        <v>70100</v>
      </c>
      <c r="N71" s="35">
        <v>104</v>
      </c>
      <c r="O71" s="36">
        <v>4</v>
      </c>
      <c r="P71" s="38">
        <v>0</v>
      </c>
      <c r="Q71" s="31">
        <v>70.12</v>
      </c>
      <c r="R71" s="32">
        <v>70</v>
      </c>
      <c r="S71" s="1">
        <v>1000</v>
      </c>
      <c r="T71" s="33">
        <v>70120</v>
      </c>
    </row>
    <row r="72" spans="1:20" ht="13.5" thickBot="1" x14ac:dyDescent="0.25">
      <c r="A72" s="3"/>
      <c r="B72" s="22">
        <v>4</v>
      </c>
      <c r="C72" s="23">
        <v>700000</v>
      </c>
      <c r="D72" s="39" t="s">
        <v>10</v>
      </c>
      <c r="E72" s="25">
        <v>53.7</v>
      </c>
      <c r="F72" s="27"/>
      <c r="G72" s="23">
        <v>690000</v>
      </c>
      <c r="H72" s="27"/>
      <c r="I72" s="26">
        <v>-1.4285714285714286</v>
      </c>
      <c r="J72" s="26">
        <v>5.3474482135195736</v>
      </c>
      <c r="K72" s="27" t="e">
        <v>#VALUE!</v>
      </c>
      <c r="L72" s="34"/>
      <c r="M72" s="37">
        <v>690000</v>
      </c>
      <c r="N72" s="40"/>
      <c r="O72" s="36">
        <v>4</v>
      </c>
      <c r="P72" s="3">
        <v>5</v>
      </c>
      <c r="Q72" s="31">
        <v>0.70920000000000005</v>
      </c>
      <c r="R72" s="32">
        <v>0.7</v>
      </c>
      <c r="S72" s="1">
        <v>1000000</v>
      </c>
      <c r="T72" s="33">
        <v>709200</v>
      </c>
    </row>
    <row r="73" spans="1:20" ht="13.5" thickBot="1" x14ac:dyDescent="0.25">
      <c r="A73" s="3"/>
      <c r="B73" s="22">
        <v>5</v>
      </c>
      <c r="C73" s="23">
        <v>7000000</v>
      </c>
      <c r="D73" s="39" t="s">
        <v>11</v>
      </c>
      <c r="E73" s="25">
        <v>364.1</v>
      </c>
      <c r="F73" s="27"/>
      <c r="G73" s="23">
        <v>6900000</v>
      </c>
      <c r="H73" s="27"/>
      <c r="I73" s="26">
        <v>-1.4285714285714286</v>
      </c>
      <c r="J73" s="26">
        <v>5.3474482135195736</v>
      </c>
      <c r="K73" s="27" t="e">
        <v>#VALUE!</v>
      </c>
      <c r="L73" s="34"/>
      <c r="M73" s="37">
        <v>6900000</v>
      </c>
      <c r="N73" s="40"/>
      <c r="O73" s="36">
        <v>4</v>
      </c>
      <c r="P73" s="3"/>
      <c r="Q73" s="31">
        <v>7.5069999999999997</v>
      </c>
      <c r="R73" s="32">
        <v>7</v>
      </c>
      <c r="S73" s="1">
        <v>1000000</v>
      </c>
      <c r="T73" s="33">
        <v>7507000</v>
      </c>
    </row>
    <row r="74" spans="1:20" ht="13.5" thickBot="1" x14ac:dyDescent="0.25">
      <c r="A74" s="3"/>
      <c r="B74" s="22">
        <v>6</v>
      </c>
      <c r="C74" s="23">
        <v>70000000</v>
      </c>
      <c r="D74" s="39" t="s">
        <v>11</v>
      </c>
      <c r="E74" s="25">
        <v>116.7</v>
      </c>
      <c r="F74" s="27"/>
      <c r="G74" s="23">
        <v>68000000</v>
      </c>
      <c r="H74" s="27"/>
      <c r="I74" s="26">
        <v>-2.8571428571428572</v>
      </c>
      <c r="J74" s="26">
        <v>6.015614438310072</v>
      </c>
      <c r="K74" s="27" t="e">
        <v>#VALUE!</v>
      </c>
      <c r="L74" s="34"/>
      <c r="M74" s="37">
        <v>68000000</v>
      </c>
      <c r="N74" s="40"/>
      <c r="O74" s="36">
        <v>4</v>
      </c>
      <c r="P74" s="3"/>
      <c r="Q74" s="31">
        <v>71.7</v>
      </c>
      <c r="R74" s="32">
        <v>70</v>
      </c>
      <c r="S74" s="1">
        <v>1000000</v>
      </c>
      <c r="T74" s="33">
        <v>71700000</v>
      </c>
    </row>
    <row r="75" spans="1:20" ht="13.5" thickBot="1" x14ac:dyDescent="0.25">
      <c r="A75" s="3"/>
      <c r="B75" s="22">
        <v>7</v>
      </c>
      <c r="C75" s="23">
        <v>700000000</v>
      </c>
      <c r="D75" s="39" t="s">
        <v>12</v>
      </c>
      <c r="E75" s="25">
        <v>240.9</v>
      </c>
      <c r="F75" s="27"/>
      <c r="G75" s="23">
        <v>700000000</v>
      </c>
      <c r="H75" s="27"/>
      <c r="I75" s="26">
        <v>0</v>
      </c>
      <c r="J75" s="26">
        <v>5.0999999999999996</v>
      </c>
      <c r="K75" s="27" t="e">
        <v>#VALUE!</v>
      </c>
      <c r="L75" s="34"/>
      <c r="M75" s="37">
        <v>700000000</v>
      </c>
      <c r="N75" s="40"/>
      <c r="O75" s="36">
        <v>4</v>
      </c>
      <c r="P75" s="3"/>
      <c r="Q75" s="31">
        <v>0.70069999999999999</v>
      </c>
      <c r="R75" s="32">
        <v>0.7</v>
      </c>
      <c r="S75" s="4">
        <v>1000000000</v>
      </c>
      <c r="T75" s="33">
        <v>700700000</v>
      </c>
    </row>
    <row r="76" spans="1:20" ht="13.5" thickBot="1" x14ac:dyDescent="0.25">
      <c r="A76" s="41"/>
      <c r="B76" s="22">
        <v>8</v>
      </c>
      <c r="C76" s="23">
        <v>7000000000</v>
      </c>
      <c r="D76" s="39" t="s">
        <v>12</v>
      </c>
      <c r="E76" s="25">
        <v>77.5</v>
      </c>
      <c r="F76" s="27"/>
      <c r="G76" s="23">
        <v>7100000000</v>
      </c>
      <c r="H76" s="27"/>
      <c r="I76" s="26">
        <v>1.4285714285714286</v>
      </c>
      <c r="J76" s="26">
        <v>5.3474482135195736</v>
      </c>
      <c r="K76" s="27" t="e">
        <v>#VALUE!</v>
      </c>
      <c r="L76" s="42"/>
      <c r="M76" s="37">
        <v>7100000000</v>
      </c>
      <c r="N76" s="43"/>
      <c r="O76" s="44">
        <v>4</v>
      </c>
      <c r="P76" s="41"/>
      <c r="Q76" s="31">
        <v>6.9909999999999997</v>
      </c>
      <c r="R76" s="32">
        <v>7</v>
      </c>
      <c r="S76" s="4">
        <v>1000000000</v>
      </c>
      <c r="T76" s="33">
        <v>6991000000</v>
      </c>
    </row>
    <row r="79" spans="1:20" ht="12" thickBot="1" x14ac:dyDescent="0.25"/>
    <row r="80" spans="1:20" ht="13.5" thickBot="1" x14ac:dyDescent="0.25">
      <c r="A80" s="53"/>
      <c r="B80" s="5"/>
      <c r="C80" s="46" t="s">
        <v>0</v>
      </c>
      <c r="D80" s="5"/>
      <c r="E80" s="47"/>
      <c r="F80" s="9" t="s">
        <v>1</v>
      </c>
      <c r="G80" s="10"/>
      <c r="H80" s="47"/>
      <c r="I80" s="11"/>
      <c r="J80" s="12"/>
      <c r="K80" s="12"/>
      <c r="L80" s="1"/>
      <c r="M80" s="51"/>
      <c r="N80" s="1"/>
      <c r="O80" s="50"/>
      <c r="P80" s="1"/>
      <c r="Q80" s="1"/>
      <c r="R80" s="1"/>
      <c r="S80" s="1"/>
      <c r="T80" s="1"/>
    </row>
    <row r="81" spans="1:20" ht="12.75" x14ac:dyDescent="0.2">
      <c r="A81" s="53"/>
      <c r="B81" s="7"/>
      <c r="C81" s="16"/>
      <c r="D81" s="13"/>
      <c r="E81" s="8"/>
      <c r="F81" s="6"/>
      <c r="G81" s="6"/>
      <c r="H81" s="8"/>
      <c r="I81" s="14"/>
      <c r="J81" s="15"/>
      <c r="K81" s="15"/>
      <c r="L81" s="34"/>
      <c r="M81" s="51"/>
      <c r="N81" s="1"/>
      <c r="O81" s="1"/>
      <c r="P81" s="1"/>
      <c r="Q81" s="1"/>
      <c r="R81" s="1"/>
      <c r="S81" s="1"/>
      <c r="T81" s="1"/>
    </row>
    <row r="82" spans="1:20" ht="12.75" x14ac:dyDescent="0.2">
      <c r="A82" s="53"/>
      <c r="B82" s="7"/>
      <c r="C82" s="14"/>
      <c r="D82" s="16"/>
      <c r="E82" s="8"/>
      <c r="F82" s="6" t="s">
        <v>0</v>
      </c>
      <c r="G82" s="6" t="s">
        <v>0</v>
      </c>
      <c r="H82" s="8"/>
      <c r="I82" s="15"/>
      <c r="J82" s="15"/>
      <c r="K82" s="15"/>
      <c r="L82" s="34"/>
      <c r="M82" s="51"/>
      <c r="N82" s="1"/>
      <c r="O82" s="1"/>
      <c r="P82" s="1"/>
      <c r="Q82" s="1"/>
      <c r="R82" s="1"/>
      <c r="S82" s="1"/>
      <c r="T82" s="1"/>
    </row>
    <row r="83" spans="1:20" ht="13.5" thickBot="1" x14ac:dyDescent="0.25">
      <c r="A83" s="54"/>
      <c r="B83" s="17" t="s">
        <v>2</v>
      </c>
      <c r="C83" s="48" t="s">
        <v>3</v>
      </c>
      <c r="D83" s="19" t="s">
        <v>2</v>
      </c>
      <c r="E83" s="20" t="s">
        <v>4</v>
      </c>
      <c r="F83" s="18" t="s">
        <v>3</v>
      </c>
      <c r="G83" s="18" t="s">
        <v>3</v>
      </c>
      <c r="H83" s="20" t="s">
        <v>5</v>
      </c>
      <c r="I83" s="18" t="s">
        <v>6</v>
      </c>
      <c r="J83" s="18" t="s">
        <v>6</v>
      </c>
      <c r="K83" s="21">
        <v>0.15</v>
      </c>
      <c r="L83" s="1"/>
      <c r="M83" s="51"/>
      <c r="N83" s="2" t="s">
        <v>7</v>
      </c>
      <c r="O83" s="1"/>
      <c r="P83" s="1"/>
      <c r="Q83" s="1"/>
      <c r="R83" s="1"/>
      <c r="S83" s="1"/>
      <c r="T83" s="1"/>
    </row>
    <row r="84" spans="1:20" ht="14.25" thickTop="1" thickBot="1" x14ac:dyDescent="0.25">
      <c r="A84" s="49"/>
      <c r="B84" s="22">
        <v>1</v>
      </c>
      <c r="C84" s="23">
        <v>700</v>
      </c>
      <c r="D84" s="24" t="s">
        <v>8</v>
      </c>
      <c r="E84" s="25">
        <v>241.9</v>
      </c>
      <c r="F84" s="55">
        <f>N84</f>
        <v>110</v>
      </c>
      <c r="G84" s="23">
        <v>800</v>
      </c>
      <c r="H84" s="23">
        <v>696</v>
      </c>
      <c r="I84" s="26">
        <v>-0.5714285714285714</v>
      </c>
      <c r="J84" s="26">
        <v>6.1325471296595815</v>
      </c>
      <c r="K84" s="27" t="e">
        <v>#VALUE!</v>
      </c>
      <c r="L84" s="28"/>
      <c r="M84" s="29">
        <v>800</v>
      </c>
      <c r="N84" s="45">
        <v>110</v>
      </c>
      <c r="O84" s="30">
        <v>5</v>
      </c>
      <c r="P84" s="3">
        <v>0</v>
      </c>
      <c r="Q84" s="31">
        <v>0.82040000000000002</v>
      </c>
      <c r="R84" s="32">
        <v>0.7</v>
      </c>
      <c r="S84" s="1">
        <v>1000</v>
      </c>
      <c r="T84" s="33">
        <v>820.4</v>
      </c>
    </row>
    <row r="85" spans="1:20" ht="13.5" thickBot="1" x14ac:dyDescent="0.25">
      <c r="A85" s="52" t="s">
        <v>13</v>
      </c>
      <c r="B85" s="22">
        <v>2</v>
      </c>
      <c r="C85" s="23">
        <v>7000</v>
      </c>
      <c r="D85" s="24" t="s">
        <v>8</v>
      </c>
      <c r="E85" s="25">
        <v>77.400000000000006</v>
      </c>
      <c r="F85" s="56"/>
      <c r="G85" s="23">
        <v>7200</v>
      </c>
      <c r="H85" s="23">
        <v>7096</v>
      </c>
      <c r="I85" s="26">
        <v>1.3714285714285714</v>
      </c>
      <c r="J85" s="26">
        <v>6.2846712843275423</v>
      </c>
      <c r="K85" s="27" t="e">
        <v>#VALUE!</v>
      </c>
      <c r="L85" s="34"/>
      <c r="M85" s="29">
        <v>7200</v>
      </c>
      <c r="N85" s="35">
        <v>104</v>
      </c>
      <c r="O85" s="36">
        <v>5</v>
      </c>
      <c r="P85" s="3">
        <v>0</v>
      </c>
      <c r="Q85" s="31">
        <v>6.9059999999999997</v>
      </c>
      <c r="R85" s="32">
        <v>7</v>
      </c>
      <c r="S85" s="1">
        <v>1000</v>
      </c>
      <c r="T85" s="33">
        <v>6906</v>
      </c>
    </row>
    <row r="86" spans="1:20" ht="13.5" thickBot="1" x14ac:dyDescent="0.25">
      <c r="A86" s="3"/>
      <c r="B86" s="22">
        <v>3</v>
      </c>
      <c r="C86" s="23">
        <v>70000</v>
      </c>
      <c r="D86" s="24" t="s">
        <v>10</v>
      </c>
      <c r="E86" s="25">
        <v>167.3</v>
      </c>
      <c r="F86" s="57"/>
      <c r="G86" s="23">
        <v>70100</v>
      </c>
      <c r="H86" s="23">
        <v>69996</v>
      </c>
      <c r="I86" s="26">
        <v>-5.7142857142857143E-3</v>
      </c>
      <c r="J86" s="26">
        <v>5.100004081630571</v>
      </c>
      <c r="K86" s="27" t="e">
        <v>#VALUE!</v>
      </c>
      <c r="L86" s="34"/>
      <c r="M86" s="37">
        <v>70100</v>
      </c>
      <c r="N86" s="35">
        <v>104</v>
      </c>
      <c r="O86" s="36">
        <v>4</v>
      </c>
      <c r="P86" s="38">
        <v>0</v>
      </c>
      <c r="Q86" s="31">
        <v>70.12</v>
      </c>
      <c r="R86" s="32">
        <v>70</v>
      </c>
      <c r="S86" s="1">
        <v>1000</v>
      </c>
      <c r="T86" s="33">
        <v>70120</v>
      </c>
    </row>
    <row r="87" spans="1:20" ht="13.5" thickBot="1" x14ac:dyDescent="0.25">
      <c r="A87" s="3"/>
      <c r="B87" s="22">
        <v>4</v>
      </c>
      <c r="C87" s="23">
        <v>700000</v>
      </c>
      <c r="D87" s="39" t="s">
        <v>10</v>
      </c>
      <c r="E87" s="25">
        <v>53.7</v>
      </c>
      <c r="F87" s="27"/>
      <c r="G87" s="23">
        <v>690000</v>
      </c>
      <c r="H87" s="27"/>
      <c r="I87" s="26">
        <v>-1.4285714285714286</v>
      </c>
      <c r="J87" s="26">
        <v>5.3474482135195736</v>
      </c>
      <c r="K87" s="27" t="e">
        <v>#VALUE!</v>
      </c>
      <c r="L87" s="34"/>
      <c r="M87" s="37">
        <v>690000</v>
      </c>
      <c r="N87" s="40"/>
      <c r="O87" s="36">
        <v>4</v>
      </c>
      <c r="P87" s="3">
        <v>5</v>
      </c>
      <c r="Q87" s="31">
        <v>0.70920000000000005</v>
      </c>
      <c r="R87" s="32">
        <v>0.7</v>
      </c>
      <c r="S87" s="1">
        <v>1000000</v>
      </c>
      <c r="T87" s="33">
        <v>709200</v>
      </c>
    </row>
    <row r="88" spans="1:20" ht="13.5" thickBot="1" x14ac:dyDescent="0.25">
      <c r="A88" s="3"/>
      <c r="B88" s="22">
        <v>5</v>
      </c>
      <c r="C88" s="23">
        <v>7000000</v>
      </c>
      <c r="D88" s="39" t="s">
        <v>11</v>
      </c>
      <c r="E88" s="25">
        <v>364.1</v>
      </c>
      <c r="F88" s="27"/>
      <c r="G88" s="23">
        <v>6900000</v>
      </c>
      <c r="H88" s="27"/>
      <c r="I88" s="26">
        <v>-1.4285714285714286</v>
      </c>
      <c r="J88" s="26">
        <v>5.3474482135195736</v>
      </c>
      <c r="K88" s="27" t="e">
        <v>#VALUE!</v>
      </c>
      <c r="L88" s="34"/>
      <c r="M88" s="37">
        <v>6900000</v>
      </c>
      <c r="N88" s="40"/>
      <c r="O88" s="36">
        <v>4</v>
      </c>
      <c r="P88" s="3"/>
      <c r="Q88" s="31">
        <v>7.5069999999999997</v>
      </c>
      <c r="R88" s="32">
        <v>7</v>
      </c>
      <c r="S88" s="1">
        <v>1000000</v>
      </c>
      <c r="T88" s="33">
        <v>7507000</v>
      </c>
    </row>
    <row r="89" spans="1:20" ht="13.5" thickBot="1" x14ac:dyDescent="0.25">
      <c r="A89" s="3"/>
      <c r="B89" s="22">
        <v>6</v>
      </c>
      <c r="C89" s="23">
        <v>70000000</v>
      </c>
      <c r="D89" s="39" t="s">
        <v>11</v>
      </c>
      <c r="E89" s="25">
        <v>116.7</v>
      </c>
      <c r="F89" s="27"/>
      <c r="G89" s="23">
        <v>68000000</v>
      </c>
      <c r="H89" s="27"/>
      <c r="I89" s="26">
        <v>-2.8571428571428572</v>
      </c>
      <c r="J89" s="26">
        <v>6.015614438310072</v>
      </c>
      <c r="K89" s="27" t="e">
        <v>#VALUE!</v>
      </c>
      <c r="L89" s="34"/>
      <c r="M89" s="37">
        <v>68000000</v>
      </c>
      <c r="N89" s="40"/>
      <c r="O89" s="36">
        <v>4</v>
      </c>
      <c r="P89" s="3"/>
      <c r="Q89" s="31">
        <v>71.7</v>
      </c>
      <c r="R89" s="32">
        <v>70</v>
      </c>
      <c r="S89" s="1">
        <v>1000000</v>
      </c>
      <c r="T89" s="33">
        <v>71700000</v>
      </c>
    </row>
    <row r="90" spans="1:20" ht="13.5" thickBot="1" x14ac:dyDescent="0.25">
      <c r="A90" s="3"/>
      <c r="B90" s="22">
        <v>7</v>
      </c>
      <c r="C90" s="23">
        <v>700000000</v>
      </c>
      <c r="D90" s="39" t="s">
        <v>12</v>
      </c>
      <c r="E90" s="25">
        <v>240.9</v>
      </c>
      <c r="F90" s="27"/>
      <c r="G90" s="23">
        <v>700000000</v>
      </c>
      <c r="H90" s="27"/>
      <c r="I90" s="26">
        <v>0</v>
      </c>
      <c r="J90" s="26">
        <v>5.0999999999999996</v>
      </c>
      <c r="K90" s="27" t="e">
        <v>#VALUE!</v>
      </c>
      <c r="L90" s="34"/>
      <c r="M90" s="37">
        <v>700000000</v>
      </c>
      <c r="N90" s="40"/>
      <c r="O90" s="36">
        <v>4</v>
      </c>
      <c r="P90" s="3"/>
      <c r="Q90" s="31">
        <v>0.70069999999999999</v>
      </c>
      <c r="R90" s="32">
        <v>0.7</v>
      </c>
      <c r="S90" s="4">
        <v>1000000000</v>
      </c>
      <c r="T90" s="33">
        <v>700700000</v>
      </c>
    </row>
    <row r="91" spans="1:20" ht="13.5" thickBot="1" x14ac:dyDescent="0.25">
      <c r="A91" s="41"/>
      <c r="B91" s="22">
        <v>8</v>
      </c>
      <c r="C91" s="23">
        <v>7000000000</v>
      </c>
      <c r="D91" s="39" t="s">
        <v>12</v>
      </c>
      <c r="E91" s="25">
        <v>77.5</v>
      </c>
      <c r="F91" s="27"/>
      <c r="G91" s="23">
        <v>7100000000</v>
      </c>
      <c r="H91" s="27"/>
      <c r="I91" s="26">
        <v>1.4285714285714286</v>
      </c>
      <c r="J91" s="26">
        <v>5.3474482135195736</v>
      </c>
      <c r="K91" s="27" t="e">
        <v>#VALUE!</v>
      </c>
      <c r="L91" s="42"/>
      <c r="M91" s="37">
        <v>7100000000</v>
      </c>
      <c r="N91" s="43"/>
      <c r="O91" s="44">
        <v>4</v>
      </c>
      <c r="P91" s="41"/>
      <c r="Q91" s="31">
        <v>6.9909999999999997</v>
      </c>
      <c r="R91" s="32">
        <v>7</v>
      </c>
      <c r="S91" s="4">
        <v>1000000000</v>
      </c>
      <c r="T91" s="33">
        <v>6991000000</v>
      </c>
    </row>
    <row r="94" spans="1:20" ht="12" thickBot="1" x14ac:dyDescent="0.25"/>
    <row r="95" spans="1:20" ht="13.5" thickBot="1" x14ac:dyDescent="0.25">
      <c r="A95" s="58"/>
      <c r="B95" s="59"/>
      <c r="C95" s="60" t="s">
        <v>0</v>
      </c>
      <c r="D95" s="59"/>
      <c r="E95" s="61"/>
      <c r="F95" s="62" t="s">
        <v>1</v>
      </c>
      <c r="G95" s="63"/>
      <c r="H95" s="61"/>
      <c r="I95" s="64"/>
      <c r="J95" s="65"/>
      <c r="K95" s="65"/>
      <c r="M95" s="66"/>
      <c r="O95" s="67"/>
    </row>
    <row r="96" spans="1:20" ht="12.75" x14ac:dyDescent="0.2">
      <c r="A96" s="58"/>
      <c r="B96" s="68"/>
      <c r="C96" s="69"/>
      <c r="D96" s="70"/>
      <c r="E96" s="71"/>
      <c r="F96" s="72"/>
      <c r="G96" s="72"/>
      <c r="H96" s="71"/>
      <c r="I96" s="73"/>
      <c r="J96" s="74"/>
      <c r="K96" s="74"/>
      <c r="L96" s="75"/>
      <c r="M96" s="66"/>
    </row>
    <row r="97" spans="1:20" ht="12.75" x14ac:dyDescent="0.2">
      <c r="A97" s="58"/>
      <c r="B97" s="68"/>
      <c r="C97" s="73"/>
      <c r="D97" s="69"/>
      <c r="E97" s="71"/>
      <c r="F97" s="72" t="s">
        <v>0</v>
      </c>
      <c r="G97" s="72" t="s">
        <v>0</v>
      </c>
      <c r="H97" s="71"/>
      <c r="I97" s="74"/>
      <c r="J97" s="74"/>
      <c r="K97" s="74"/>
      <c r="L97" s="75"/>
      <c r="M97" s="66"/>
    </row>
    <row r="98" spans="1:20" ht="13.5" thickBot="1" x14ac:dyDescent="0.25">
      <c r="A98" s="76"/>
      <c r="B98" s="77" t="s">
        <v>2</v>
      </c>
      <c r="C98" s="78" t="s">
        <v>3</v>
      </c>
      <c r="D98" s="79" t="s">
        <v>2</v>
      </c>
      <c r="E98" s="80" t="s">
        <v>4</v>
      </c>
      <c r="F98" s="81" t="s">
        <v>3</v>
      </c>
      <c r="G98" s="81" t="s">
        <v>3</v>
      </c>
      <c r="H98" s="80" t="s">
        <v>5</v>
      </c>
      <c r="I98" s="81" t="s">
        <v>6</v>
      </c>
      <c r="J98" s="81" t="s">
        <v>6</v>
      </c>
      <c r="K98" s="82">
        <v>0.15</v>
      </c>
      <c r="M98" s="66"/>
      <c r="N98" s="83" t="s">
        <v>7</v>
      </c>
    </row>
    <row r="99" spans="1:20" ht="14.25" thickTop="1" thickBot="1" x14ac:dyDescent="0.25">
      <c r="A99" s="84"/>
      <c r="B99" s="85">
        <v>1</v>
      </c>
      <c r="C99" s="86">
        <v>700</v>
      </c>
      <c r="D99" s="87" t="s">
        <v>8</v>
      </c>
      <c r="E99" s="88">
        <v>241.9</v>
      </c>
      <c r="F99" s="89">
        <f>N99</f>
        <v>104</v>
      </c>
      <c r="G99" s="86">
        <f t="shared" ref="G99:G106" si="0">M99</f>
        <v>800</v>
      </c>
      <c r="H99" s="86">
        <f>G99-N99</f>
        <v>696</v>
      </c>
      <c r="I99" s="90">
        <f t="shared" ref="I99:I106" si="1">((G99-N99)-C99)/C99*100</f>
        <v>-0.5714285714285714</v>
      </c>
      <c r="J99" s="90">
        <f t="shared" ref="J99:J106" si="2">1.1+SQRT(O99^2+I99^2)</f>
        <v>6.1325471296595815</v>
      </c>
      <c r="K99" s="91" t="e">
        <f t="shared" ref="K99:K106" si="3">TEXT(J99,"0.0")&amp;"&lt;15"</f>
        <v>#VALUE!</v>
      </c>
      <c r="L99" s="92"/>
      <c r="M99" s="93">
        <f>R99*10^3+100</f>
        <v>800</v>
      </c>
      <c r="N99" s="94">
        <v>104</v>
      </c>
      <c r="O99" s="95">
        <v>5</v>
      </c>
      <c r="P99" s="96">
        <f>A99</f>
        <v>0</v>
      </c>
      <c r="Q99" s="97">
        <v>0.82040000000000002</v>
      </c>
      <c r="R99" s="98">
        <v>0.7</v>
      </c>
      <c r="S99">
        <v>1000</v>
      </c>
      <c r="T99" s="99">
        <f t="shared" ref="T99:T106" si="4">Q99*S99</f>
        <v>820.4</v>
      </c>
    </row>
    <row r="100" spans="1:20" ht="13.5" thickBot="1" x14ac:dyDescent="0.25">
      <c r="A100" s="100" t="s">
        <v>9</v>
      </c>
      <c r="B100" s="85">
        <v>2</v>
      </c>
      <c r="C100" s="86">
        <v>7000</v>
      </c>
      <c r="D100" s="87" t="s">
        <v>8</v>
      </c>
      <c r="E100" s="88">
        <v>77.400000000000006</v>
      </c>
      <c r="F100" s="89"/>
      <c r="G100" s="86">
        <f t="shared" si="0"/>
        <v>7200</v>
      </c>
      <c r="H100" s="86">
        <f>G100-N100</f>
        <v>7096</v>
      </c>
      <c r="I100" s="90">
        <f t="shared" si="1"/>
        <v>1.3714285714285714</v>
      </c>
      <c r="J100" s="90">
        <f t="shared" si="2"/>
        <v>6.2846712843275423</v>
      </c>
      <c r="K100" s="91" t="e">
        <f t="shared" si="3"/>
        <v>#VALUE!</v>
      </c>
      <c r="L100" s="75"/>
      <c r="M100" s="93">
        <f>R100*10^3+100</f>
        <v>7200</v>
      </c>
      <c r="N100" s="101">
        <f>N99</f>
        <v>104</v>
      </c>
      <c r="O100" s="102">
        <v>5</v>
      </c>
      <c r="P100" s="96" t="e">
        <f>'[1]Калибровочные значения'!#REF!</f>
        <v>#REF!</v>
      </c>
      <c r="Q100" s="97">
        <v>6.9059999999999997</v>
      </c>
      <c r="R100" s="98">
        <v>7.1</v>
      </c>
      <c r="S100">
        <v>1000</v>
      </c>
      <c r="T100" s="99">
        <f t="shared" si="4"/>
        <v>6906</v>
      </c>
    </row>
    <row r="101" spans="1:20" ht="13.5" thickBot="1" x14ac:dyDescent="0.25">
      <c r="A101" s="96"/>
      <c r="B101" s="85">
        <v>3</v>
      </c>
      <c r="C101" s="86">
        <v>70000</v>
      </c>
      <c r="D101" s="87" t="s">
        <v>10</v>
      </c>
      <c r="E101" s="88">
        <v>167.3</v>
      </c>
      <c r="F101" s="89"/>
      <c r="G101" s="86">
        <f t="shared" si="0"/>
        <v>70100</v>
      </c>
      <c r="H101" s="86">
        <f>G101-N101</f>
        <v>69996</v>
      </c>
      <c r="I101" s="90">
        <f t="shared" si="1"/>
        <v>-5.7142857142857143E-3</v>
      </c>
      <c r="J101" s="90">
        <f t="shared" si="2"/>
        <v>5.100004081630571</v>
      </c>
      <c r="K101" s="91" t="e">
        <f t="shared" si="3"/>
        <v>#VALUE!</v>
      </c>
      <c r="L101" s="75"/>
      <c r="M101" s="103">
        <f>R101*10^3+100</f>
        <v>70100</v>
      </c>
      <c r="N101" s="101">
        <f>N99</f>
        <v>104</v>
      </c>
      <c r="O101" s="102">
        <v>4</v>
      </c>
      <c r="P101" s="104" t="e">
        <f>'[1]Калибровочные значения'!#REF!</f>
        <v>#REF!</v>
      </c>
      <c r="Q101" s="97">
        <v>70.12</v>
      </c>
      <c r="R101" s="98">
        <v>70</v>
      </c>
      <c r="S101">
        <v>1000</v>
      </c>
      <c r="T101" s="99">
        <f t="shared" si="4"/>
        <v>70120</v>
      </c>
    </row>
    <row r="102" spans="1:20" ht="13.5" thickBot="1" x14ac:dyDescent="0.25">
      <c r="A102" s="96"/>
      <c r="B102" s="85">
        <v>4</v>
      </c>
      <c r="C102" s="86">
        <v>700000</v>
      </c>
      <c r="D102" s="105" t="s">
        <v>10</v>
      </c>
      <c r="E102" s="88">
        <v>53.7</v>
      </c>
      <c r="F102" s="91"/>
      <c r="G102" s="86">
        <f t="shared" si="0"/>
        <v>690000</v>
      </c>
      <c r="H102" s="91"/>
      <c r="I102" s="90">
        <f t="shared" si="1"/>
        <v>-1.4285714285714286</v>
      </c>
      <c r="J102" s="90">
        <f t="shared" si="2"/>
        <v>5.3474482135195736</v>
      </c>
      <c r="K102" s="91" t="e">
        <f t="shared" si="3"/>
        <v>#VALUE!</v>
      </c>
      <c r="L102" s="75"/>
      <c r="M102" s="103">
        <f>R102*10^6</f>
        <v>690000</v>
      </c>
      <c r="N102" s="106"/>
      <c r="O102" s="102">
        <v>4</v>
      </c>
      <c r="P102" s="96">
        <v>5</v>
      </c>
      <c r="Q102" s="97">
        <v>0.70920000000000005</v>
      </c>
      <c r="R102" s="98">
        <v>0.69</v>
      </c>
      <c r="S102">
        <v>1000000</v>
      </c>
      <c r="T102" s="99">
        <f t="shared" si="4"/>
        <v>709200</v>
      </c>
    </row>
    <row r="103" spans="1:20" ht="13.5" thickBot="1" x14ac:dyDescent="0.25">
      <c r="A103" s="96"/>
      <c r="B103" s="85">
        <v>5</v>
      </c>
      <c r="C103" s="86">
        <v>7000000</v>
      </c>
      <c r="D103" s="105" t="s">
        <v>11</v>
      </c>
      <c r="E103" s="88">
        <v>364.1</v>
      </c>
      <c r="F103" s="91"/>
      <c r="G103" s="86">
        <f t="shared" si="0"/>
        <v>6900000</v>
      </c>
      <c r="H103" s="91"/>
      <c r="I103" s="90">
        <f t="shared" si="1"/>
        <v>-1.4285714285714286</v>
      </c>
      <c r="J103" s="90">
        <f t="shared" si="2"/>
        <v>5.3474482135195736</v>
      </c>
      <c r="K103" s="91" t="e">
        <f t="shared" si="3"/>
        <v>#VALUE!</v>
      </c>
      <c r="L103" s="75"/>
      <c r="M103" s="103">
        <f>R103*10^6</f>
        <v>6900000</v>
      </c>
      <c r="N103" s="106"/>
      <c r="O103" s="102">
        <v>4</v>
      </c>
      <c r="P103" s="96"/>
      <c r="Q103" s="97">
        <v>7.5069999999999997</v>
      </c>
      <c r="R103" s="98">
        <v>6.9</v>
      </c>
      <c r="S103">
        <v>1000000</v>
      </c>
      <c r="T103" s="99">
        <f t="shared" si="4"/>
        <v>7507000</v>
      </c>
    </row>
    <row r="104" spans="1:20" ht="13.5" thickBot="1" x14ac:dyDescent="0.25">
      <c r="A104" s="96"/>
      <c r="B104" s="85">
        <v>6</v>
      </c>
      <c r="C104" s="86">
        <v>70000000</v>
      </c>
      <c r="D104" s="105" t="s">
        <v>11</v>
      </c>
      <c r="E104" s="88">
        <v>116.7</v>
      </c>
      <c r="F104" s="91"/>
      <c r="G104" s="86">
        <f t="shared" si="0"/>
        <v>68000000</v>
      </c>
      <c r="H104" s="91"/>
      <c r="I104" s="90">
        <f t="shared" si="1"/>
        <v>-2.8571428571428572</v>
      </c>
      <c r="J104" s="90">
        <f t="shared" si="2"/>
        <v>6.015614438310072</v>
      </c>
      <c r="K104" s="91" t="e">
        <f t="shared" si="3"/>
        <v>#VALUE!</v>
      </c>
      <c r="L104" s="75"/>
      <c r="M104" s="103">
        <f>R104*10^6</f>
        <v>68000000</v>
      </c>
      <c r="N104" s="106"/>
      <c r="O104" s="102">
        <v>4</v>
      </c>
      <c r="P104" s="96"/>
      <c r="Q104" s="97">
        <v>71.7</v>
      </c>
      <c r="R104" s="98">
        <v>68</v>
      </c>
      <c r="S104">
        <v>1000000</v>
      </c>
      <c r="T104" s="99">
        <f t="shared" si="4"/>
        <v>71700000</v>
      </c>
    </row>
    <row r="105" spans="1:20" ht="13.5" thickBot="1" x14ac:dyDescent="0.25">
      <c r="A105" s="96"/>
      <c r="B105" s="85">
        <v>7</v>
      </c>
      <c r="C105" s="86">
        <v>700000000</v>
      </c>
      <c r="D105" s="105" t="s">
        <v>12</v>
      </c>
      <c r="E105" s="88">
        <v>240.9</v>
      </c>
      <c r="F105" s="91"/>
      <c r="G105" s="86">
        <f t="shared" si="0"/>
        <v>700000000</v>
      </c>
      <c r="H105" s="91"/>
      <c r="I105" s="90">
        <f t="shared" si="1"/>
        <v>0</v>
      </c>
      <c r="J105" s="90">
        <f t="shared" si="2"/>
        <v>5.0999999999999996</v>
      </c>
      <c r="K105" s="91" t="e">
        <f t="shared" si="3"/>
        <v>#VALUE!</v>
      </c>
      <c r="L105" s="75"/>
      <c r="M105" s="103">
        <f>R105*10^9</f>
        <v>700000000</v>
      </c>
      <c r="N105" s="106"/>
      <c r="O105" s="102">
        <v>4</v>
      </c>
      <c r="P105" s="96"/>
      <c r="Q105" s="97">
        <v>0.70069999999999999</v>
      </c>
      <c r="R105" s="98">
        <v>0.7</v>
      </c>
      <c r="S105" s="107">
        <v>1000000000</v>
      </c>
      <c r="T105" s="99">
        <f t="shared" si="4"/>
        <v>700700000</v>
      </c>
    </row>
    <row r="106" spans="1:20" ht="13.5" thickBot="1" x14ac:dyDescent="0.25">
      <c r="A106" s="108"/>
      <c r="B106" s="85">
        <v>8</v>
      </c>
      <c r="C106" s="86">
        <v>7000000000</v>
      </c>
      <c r="D106" s="105" t="s">
        <v>12</v>
      </c>
      <c r="E106" s="88">
        <v>77.5</v>
      </c>
      <c r="F106" s="91"/>
      <c r="G106" s="86">
        <f t="shared" si="0"/>
        <v>7100000000</v>
      </c>
      <c r="H106" s="91"/>
      <c r="I106" s="90">
        <f t="shared" si="1"/>
        <v>1.4285714285714286</v>
      </c>
      <c r="J106" s="90">
        <f t="shared" si="2"/>
        <v>5.3474482135195736</v>
      </c>
      <c r="K106" s="91" t="e">
        <f t="shared" si="3"/>
        <v>#VALUE!</v>
      </c>
      <c r="L106" s="109"/>
      <c r="M106" s="103">
        <f>R106*10^9</f>
        <v>7100000000</v>
      </c>
      <c r="N106" s="110"/>
      <c r="O106" s="111">
        <v>4</v>
      </c>
      <c r="P106" s="108"/>
      <c r="Q106" s="97">
        <v>6.9909999999999997</v>
      </c>
      <c r="R106" s="98">
        <v>7.1</v>
      </c>
      <c r="S106" s="107">
        <v>1000000000</v>
      </c>
      <c r="T106" s="99">
        <f t="shared" si="4"/>
        <v>6991000000</v>
      </c>
    </row>
  </sheetData>
  <mergeCells count="7">
    <mergeCell ref="F99:F101"/>
    <mergeCell ref="F9:F11"/>
    <mergeCell ref="F84:F86"/>
    <mergeCell ref="F24:F26"/>
    <mergeCell ref="F39:F41"/>
    <mergeCell ref="F54:F56"/>
    <mergeCell ref="F69:F71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>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MX</dc:creator>
  <cp:lastModifiedBy>Пользователь Windows</cp:lastModifiedBy>
  <dcterms:created xsi:type="dcterms:W3CDTF">2018-03-13T09:07:20Z</dcterms:created>
  <dcterms:modified xsi:type="dcterms:W3CDTF">2018-05-11T09:07:54Z</dcterms:modified>
</cp:coreProperties>
</file>