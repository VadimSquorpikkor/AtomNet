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70" windowWidth="16830" windowHeight="8010" tabRatio="153"/>
  </bookViews>
  <sheets>
    <sheet name="Sheet1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T423" i="1" l="1"/>
  <c r="M423" i="1"/>
  <c r="G423" i="1"/>
  <c r="I423" i="1" s="1"/>
  <c r="J423" i="1" s="1"/>
  <c r="K423" i="1" s="1"/>
  <c r="T422" i="1"/>
  <c r="M422" i="1"/>
  <c r="G422" i="1"/>
  <c r="I422" i="1" s="1"/>
  <c r="J422" i="1" s="1"/>
  <c r="K422" i="1" s="1"/>
  <c r="T421" i="1"/>
  <c r="M421" i="1"/>
  <c r="G421" i="1"/>
  <c r="I421" i="1" s="1"/>
  <c r="J421" i="1" s="1"/>
  <c r="K421" i="1" s="1"/>
  <c r="T420" i="1"/>
  <c r="M420" i="1"/>
  <c r="G420" i="1"/>
  <c r="I420" i="1" s="1"/>
  <c r="J420" i="1" s="1"/>
  <c r="K420" i="1" s="1"/>
  <c r="T419" i="1"/>
  <c r="M419" i="1"/>
  <c r="G419" i="1"/>
  <c r="I419" i="1" s="1"/>
  <c r="J419" i="1" s="1"/>
  <c r="K419" i="1" s="1"/>
  <c r="T418" i="1"/>
  <c r="P418" i="1"/>
  <c r="N418" i="1"/>
  <c r="M418" i="1"/>
  <c r="G418" i="1"/>
  <c r="H418" i="1" s="1"/>
  <c r="T417" i="1"/>
  <c r="P417" i="1"/>
  <c r="N417" i="1"/>
  <c r="M417" i="1"/>
  <c r="G417" i="1" s="1"/>
  <c r="T416" i="1"/>
  <c r="P416" i="1"/>
  <c r="M416" i="1"/>
  <c r="G416" i="1" s="1"/>
  <c r="F416" i="1"/>
  <c r="I417" i="1" l="1"/>
  <c r="J417" i="1" s="1"/>
  <c r="K417" i="1" s="1"/>
  <c r="H417" i="1"/>
  <c r="I416" i="1"/>
  <c r="J416" i="1" s="1"/>
  <c r="K416" i="1" s="1"/>
  <c r="H416" i="1"/>
  <c r="I418" i="1"/>
  <c r="J418" i="1" s="1"/>
  <c r="K418" i="1" s="1"/>
  <c r="T408" i="1"/>
  <c r="M408" i="1"/>
  <c r="G408" i="1"/>
  <c r="I408" i="1" s="1"/>
  <c r="J408" i="1" s="1"/>
  <c r="K408" i="1" s="1"/>
  <c r="T407" i="1"/>
  <c r="M407" i="1"/>
  <c r="G407" i="1" s="1"/>
  <c r="I407" i="1" s="1"/>
  <c r="J407" i="1" s="1"/>
  <c r="K407" i="1" s="1"/>
  <c r="T406" i="1"/>
  <c r="M406" i="1"/>
  <c r="G406" i="1"/>
  <c r="I406" i="1" s="1"/>
  <c r="J406" i="1" s="1"/>
  <c r="K406" i="1" s="1"/>
  <c r="T405" i="1"/>
  <c r="M405" i="1"/>
  <c r="G405" i="1"/>
  <c r="I405" i="1" s="1"/>
  <c r="J405" i="1" s="1"/>
  <c r="K405" i="1" s="1"/>
  <c r="T404" i="1"/>
  <c r="M404" i="1"/>
  <c r="G404" i="1"/>
  <c r="I404" i="1" s="1"/>
  <c r="J404" i="1" s="1"/>
  <c r="K404" i="1" s="1"/>
  <c r="T403" i="1"/>
  <c r="P403" i="1"/>
  <c r="N403" i="1"/>
  <c r="M403" i="1"/>
  <c r="G403" i="1" s="1"/>
  <c r="I403" i="1" s="1"/>
  <c r="J403" i="1" s="1"/>
  <c r="K403" i="1" s="1"/>
  <c r="T402" i="1"/>
  <c r="P402" i="1"/>
  <c r="N402" i="1"/>
  <c r="M402" i="1"/>
  <c r="G402" i="1" s="1"/>
  <c r="T401" i="1"/>
  <c r="P401" i="1"/>
  <c r="M401" i="1"/>
  <c r="G401" i="1" s="1"/>
  <c r="F401" i="1"/>
  <c r="T393" i="1"/>
  <c r="M393" i="1"/>
  <c r="G393" i="1"/>
  <c r="I393" i="1" s="1"/>
  <c r="J393" i="1" s="1"/>
  <c r="K393" i="1" s="1"/>
  <c r="T392" i="1"/>
  <c r="M392" i="1"/>
  <c r="G392" i="1" s="1"/>
  <c r="I392" i="1" s="1"/>
  <c r="J392" i="1" s="1"/>
  <c r="K392" i="1" s="1"/>
  <c r="T391" i="1"/>
  <c r="M391" i="1"/>
  <c r="G391" i="1" s="1"/>
  <c r="I391" i="1" s="1"/>
  <c r="J391" i="1" s="1"/>
  <c r="K391" i="1" s="1"/>
  <c r="T390" i="1"/>
  <c r="M390" i="1"/>
  <c r="G390" i="1" s="1"/>
  <c r="I390" i="1" s="1"/>
  <c r="J390" i="1" s="1"/>
  <c r="K390" i="1" s="1"/>
  <c r="T389" i="1"/>
  <c r="M389" i="1"/>
  <c r="G389" i="1"/>
  <c r="I389" i="1" s="1"/>
  <c r="J389" i="1" s="1"/>
  <c r="K389" i="1" s="1"/>
  <c r="T388" i="1"/>
  <c r="P388" i="1"/>
  <c r="N388" i="1"/>
  <c r="M388" i="1"/>
  <c r="G388" i="1" s="1"/>
  <c r="T387" i="1"/>
  <c r="P387" i="1"/>
  <c r="N387" i="1"/>
  <c r="M387" i="1"/>
  <c r="G387" i="1" s="1"/>
  <c r="T386" i="1"/>
  <c r="P386" i="1"/>
  <c r="M386" i="1"/>
  <c r="G386" i="1" s="1"/>
  <c r="F386" i="1"/>
  <c r="I401" i="1" l="1"/>
  <c r="J401" i="1" s="1"/>
  <c r="K401" i="1" s="1"/>
  <c r="H401" i="1"/>
  <c r="I402" i="1"/>
  <c r="J402" i="1" s="1"/>
  <c r="K402" i="1" s="1"/>
  <c r="H402" i="1"/>
  <c r="H403" i="1"/>
  <c r="H387" i="1"/>
  <c r="I387" i="1"/>
  <c r="J387" i="1" s="1"/>
  <c r="K387" i="1" s="1"/>
  <c r="H386" i="1"/>
  <c r="I386" i="1"/>
  <c r="J386" i="1" s="1"/>
  <c r="K386" i="1" s="1"/>
  <c r="I388" i="1"/>
  <c r="J388" i="1" s="1"/>
  <c r="K388" i="1" s="1"/>
  <c r="H388" i="1"/>
  <c r="T378" i="1"/>
  <c r="M378" i="1"/>
  <c r="G378" i="1"/>
  <c r="I378" i="1" s="1"/>
  <c r="J378" i="1" s="1"/>
  <c r="K378" i="1" s="1"/>
  <c r="T377" i="1"/>
  <c r="M377" i="1"/>
  <c r="G377" i="1"/>
  <c r="I377" i="1" s="1"/>
  <c r="J377" i="1" s="1"/>
  <c r="K377" i="1" s="1"/>
  <c r="T376" i="1"/>
  <c r="M376" i="1"/>
  <c r="G376" i="1"/>
  <c r="I376" i="1" s="1"/>
  <c r="J376" i="1" s="1"/>
  <c r="K376" i="1" s="1"/>
  <c r="T375" i="1"/>
  <c r="M375" i="1"/>
  <c r="I375" i="1"/>
  <c r="J375" i="1" s="1"/>
  <c r="K375" i="1" s="1"/>
  <c r="G375" i="1"/>
  <c r="T374" i="1"/>
  <c r="M374" i="1"/>
  <c r="G374" i="1"/>
  <c r="I374" i="1" s="1"/>
  <c r="J374" i="1" s="1"/>
  <c r="K374" i="1" s="1"/>
  <c r="T373" i="1"/>
  <c r="P373" i="1"/>
  <c r="N373" i="1"/>
  <c r="M373" i="1"/>
  <c r="G373" i="1"/>
  <c r="H373" i="1" s="1"/>
  <c r="T372" i="1"/>
  <c r="P372" i="1"/>
  <c r="N372" i="1"/>
  <c r="M372" i="1"/>
  <c r="G372" i="1" s="1"/>
  <c r="T371" i="1"/>
  <c r="P371" i="1"/>
  <c r="M371" i="1"/>
  <c r="G371" i="1" s="1"/>
  <c r="F371" i="1"/>
  <c r="T363" i="1"/>
  <c r="M363" i="1"/>
  <c r="G363" i="1"/>
  <c r="I363" i="1" s="1"/>
  <c r="J363" i="1" s="1"/>
  <c r="K363" i="1" s="1"/>
  <c r="T362" i="1"/>
  <c r="M362" i="1"/>
  <c r="G362" i="1" s="1"/>
  <c r="I362" i="1" s="1"/>
  <c r="J362" i="1" s="1"/>
  <c r="K362" i="1" s="1"/>
  <c r="T361" i="1"/>
  <c r="M361" i="1"/>
  <c r="G361" i="1" s="1"/>
  <c r="I361" i="1" s="1"/>
  <c r="J361" i="1" s="1"/>
  <c r="K361" i="1" s="1"/>
  <c r="T360" i="1"/>
  <c r="M360" i="1"/>
  <c r="G360" i="1" s="1"/>
  <c r="I360" i="1" s="1"/>
  <c r="J360" i="1" s="1"/>
  <c r="K360" i="1" s="1"/>
  <c r="T359" i="1"/>
  <c r="M359" i="1"/>
  <c r="G359" i="1" s="1"/>
  <c r="I359" i="1" s="1"/>
  <c r="J359" i="1" s="1"/>
  <c r="K359" i="1" s="1"/>
  <c r="T358" i="1"/>
  <c r="P358" i="1"/>
  <c r="N358" i="1"/>
  <c r="M358" i="1"/>
  <c r="G358" i="1" s="1"/>
  <c r="T357" i="1"/>
  <c r="P357" i="1"/>
  <c r="N357" i="1"/>
  <c r="M357" i="1"/>
  <c r="G357" i="1"/>
  <c r="H357" i="1" s="1"/>
  <c r="T356" i="1"/>
  <c r="P356" i="1"/>
  <c r="M356" i="1"/>
  <c r="G356" i="1" s="1"/>
  <c r="H356" i="1" s="1"/>
  <c r="F356" i="1"/>
  <c r="T348" i="1"/>
  <c r="M348" i="1"/>
  <c r="G348" i="1" s="1"/>
  <c r="I348" i="1" s="1"/>
  <c r="J348" i="1" s="1"/>
  <c r="K348" i="1" s="1"/>
  <c r="T347" i="1"/>
  <c r="M347" i="1"/>
  <c r="G347" i="1" s="1"/>
  <c r="I347" i="1" s="1"/>
  <c r="J347" i="1" s="1"/>
  <c r="K347" i="1" s="1"/>
  <c r="T346" i="1"/>
  <c r="M346" i="1"/>
  <c r="G346" i="1" s="1"/>
  <c r="I346" i="1" s="1"/>
  <c r="J346" i="1" s="1"/>
  <c r="K346" i="1" s="1"/>
  <c r="T345" i="1"/>
  <c r="M345" i="1"/>
  <c r="G345" i="1" s="1"/>
  <c r="I345" i="1" s="1"/>
  <c r="J345" i="1" s="1"/>
  <c r="K345" i="1" s="1"/>
  <c r="T344" i="1"/>
  <c r="M344" i="1"/>
  <c r="G344" i="1"/>
  <c r="I344" i="1" s="1"/>
  <c r="J344" i="1" s="1"/>
  <c r="K344" i="1" s="1"/>
  <c r="T343" i="1"/>
  <c r="P343" i="1"/>
  <c r="N343" i="1"/>
  <c r="M343" i="1"/>
  <c r="G343" i="1" s="1"/>
  <c r="T342" i="1"/>
  <c r="P342" i="1"/>
  <c r="N342" i="1"/>
  <c r="M342" i="1"/>
  <c r="G342" i="1" s="1"/>
  <c r="H342" i="1" s="1"/>
  <c r="T341" i="1"/>
  <c r="P341" i="1"/>
  <c r="M341" i="1"/>
  <c r="G341" i="1" s="1"/>
  <c r="H341" i="1" s="1"/>
  <c r="F341" i="1"/>
  <c r="I371" i="1" l="1"/>
  <c r="J371" i="1" s="1"/>
  <c r="K371" i="1" s="1"/>
  <c r="H371" i="1"/>
  <c r="I372" i="1"/>
  <c r="J372" i="1" s="1"/>
  <c r="K372" i="1" s="1"/>
  <c r="H372" i="1"/>
  <c r="I373" i="1"/>
  <c r="J373" i="1" s="1"/>
  <c r="K373" i="1" s="1"/>
  <c r="I358" i="1"/>
  <c r="J358" i="1" s="1"/>
  <c r="K358" i="1" s="1"/>
  <c r="H358" i="1"/>
  <c r="I356" i="1"/>
  <c r="J356" i="1" s="1"/>
  <c r="K356" i="1" s="1"/>
  <c r="I357" i="1"/>
  <c r="J357" i="1" s="1"/>
  <c r="K357" i="1" s="1"/>
  <c r="I343" i="1"/>
  <c r="J343" i="1" s="1"/>
  <c r="K343" i="1" s="1"/>
  <c r="H343" i="1"/>
  <c r="I341" i="1"/>
  <c r="J341" i="1" s="1"/>
  <c r="K341" i="1" s="1"/>
  <c r="I342" i="1"/>
  <c r="J342" i="1" s="1"/>
  <c r="K342" i="1" s="1"/>
  <c r="T333" i="1"/>
  <c r="M333" i="1"/>
  <c r="G333" i="1"/>
  <c r="I333" i="1" s="1"/>
  <c r="J333" i="1" s="1"/>
  <c r="K333" i="1" s="1"/>
  <c r="T332" i="1"/>
  <c r="M332" i="1"/>
  <c r="G332" i="1" s="1"/>
  <c r="I332" i="1" s="1"/>
  <c r="J332" i="1" s="1"/>
  <c r="K332" i="1" s="1"/>
  <c r="T331" i="1"/>
  <c r="M331" i="1"/>
  <c r="G331" i="1" s="1"/>
  <c r="I331" i="1" s="1"/>
  <c r="J331" i="1" s="1"/>
  <c r="K331" i="1" s="1"/>
  <c r="T330" i="1"/>
  <c r="M330" i="1"/>
  <c r="G330" i="1" s="1"/>
  <c r="I330" i="1" s="1"/>
  <c r="J330" i="1" s="1"/>
  <c r="K330" i="1" s="1"/>
  <c r="T329" i="1"/>
  <c r="M329" i="1"/>
  <c r="G329" i="1" s="1"/>
  <c r="I329" i="1" s="1"/>
  <c r="J329" i="1" s="1"/>
  <c r="K329" i="1" s="1"/>
  <c r="T328" i="1"/>
  <c r="P328" i="1"/>
  <c r="N328" i="1"/>
  <c r="M328" i="1"/>
  <c r="G328" i="1" s="1"/>
  <c r="T327" i="1"/>
  <c r="P327" i="1"/>
  <c r="N327" i="1"/>
  <c r="M327" i="1"/>
  <c r="G327" i="1" s="1"/>
  <c r="H327" i="1" s="1"/>
  <c r="T326" i="1"/>
  <c r="P326" i="1"/>
  <c r="M326" i="1"/>
  <c r="G326" i="1" s="1"/>
  <c r="H326" i="1" s="1"/>
  <c r="F326" i="1"/>
  <c r="I328" i="1" l="1"/>
  <c r="J328" i="1" s="1"/>
  <c r="K328" i="1" s="1"/>
  <c r="H328" i="1"/>
  <c r="I326" i="1"/>
  <c r="J326" i="1" s="1"/>
  <c r="K326" i="1" s="1"/>
  <c r="I327" i="1"/>
  <c r="J327" i="1" s="1"/>
  <c r="K327" i="1" s="1"/>
  <c r="T318" i="1"/>
  <c r="M318" i="1"/>
  <c r="I318" i="1"/>
  <c r="J318" i="1" s="1"/>
  <c r="K318" i="1" s="1"/>
  <c r="G318" i="1"/>
  <c r="T317" i="1"/>
  <c r="M317" i="1"/>
  <c r="I317" i="1"/>
  <c r="J317" i="1" s="1"/>
  <c r="K317" i="1" s="1"/>
  <c r="G317" i="1"/>
  <c r="T316" i="1"/>
  <c r="M316" i="1"/>
  <c r="I316" i="1"/>
  <c r="J316" i="1" s="1"/>
  <c r="K316" i="1" s="1"/>
  <c r="G316" i="1"/>
  <c r="T315" i="1"/>
  <c r="M315" i="1"/>
  <c r="G315" i="1" s="1"/>
  <c r="I315" i="1" s="1"/>
  <c r="J315" i="1" s="1"/>
  <c r="K315" i="1" s="1"/>
  <c r="T314" i="1"/>
  <c r="M314" i="1"/>
  <c r="G314" i="1"/>
  <c r="I314" i="1" s="1"/>
  <c r="J314" i="1" s="1"/>
  <c r="K314" i="1" s="1"/>
  <c r="T313" i="1"/>
  <c r="P313" i="1"/>
  <c r="N313" i="1"/>
  <c r="M313" i="1"/>
  <c r="G313" i="1" s="1"/>
  <c r="H313" i="1" s="1"/>
  <c r="T312" i="1"/>
  <c r="P312" i="1"/>
  <c r="N312" i="1"/>
  <c r="M312" i="1"/>
  <c r="G312" i="1" s="1"/>
  <c r="T311" i="1"/>
  <c r="P311" i="1"/>
  <c r="M311" i="1"/>
  <c r="G311" i="1" s="1"/>
  <c r="F311" i="1"/>
  <c r="T303" i="1"/>
  <c r="M303" i="1"/>
  <c r="I303" i="1"/>
  <c r="J303" i="1" s="1"/>
  <c r="K303" i="1" s="1"/>
  <c r="G303" i="1"/>
  <c r="T302" i="1"/>
  <c r="M302" i="1"/>
  <c r="G302" i="1"/>
  <c r="I302" i="1" s="1"/>
  <c r="J302" i="1" s="1"/>
  <c r="K302" i="1" s="1"/>
  <c r="T301" i="1"/>
  <c r="M301" i="1"/>
  <c r="G301" i="1"/>
  <c r="I301" i="1" s="1"/>
  <c r="J301" i="1" s="1"/>
  <c r="K301" i="1" s="1"/>
  <c r="T300" i="1"/>
  <c r="M300" i="1"/>
  <c r="I300" i="1"/>
  <c r="J300" i="1" s="1"/>
  <c r="K300" i="1" s="1"/>
  <c r="G300" i="1"/>
  <c r="T299" i="1"/>
  <c r="M299" i="1"/>
  <c r="I299" i="1"/>
  <c r="J299" i="1" s="1"/>
  <c r="K299" i="1" s="1"/>
  <c r="G299" i="1"/>
  <c r="T298" i="1"/>
  <c r="P298" i="1"/>
  <c r="N298" i="1"/>
  <c r="M298" i="1"/>
  <c r="G298" i="1" s="1"/>
  <c r="H298" i="1" s="1"/>
  <c r="T297" i="1"/>
  <c r="P297" i="1"/>
  <c r="N297" i="1"/>
  <c r="M297" i="1"/>
  <c r="G297" i="1" s="1"/>
  <c r="T296" i="1"/>
  <c r="P296" i="1"/>
  <c r="M296" i="1"/>
  <c r="G296" i="1" s="1"/>
  <c r="F296" i="1"/>
  <c r="I312" i="1" l="1"/>
  <c r="J312" i="1" s="1"/>
  <c r="K312" i="1" s="1"/>
  <c r="H312" i="1"/>
  <c r="I311" i="1"/>
  <c r="J311" i="1" s="1"/>
  <c r="K311" i="1" s="1"/>
  <c r="H311" i="1"/>
  <c r="I313" i="1"/>
  <c r="J313" i="1" s="1"/>
  <c r="K313" i="1" s="1"/>
  <c r="I297" i="1"/>
  <c r="J297" i="1" s="1"/>
  <c r="K297" i="1" s="1"/>
  <c r="H297" i="1"/>
  <c r="I296" i="1"/>
  <c r="J296" i="1" s="1"/>
  <c r="K296" i="1" s="1"/>
  <c r="H296" i="1"/>
  <c r="I298" i="1"/>
  <c r="J298" i="1" s="1"/>
  <c r="K298" i="1" s="1"/>
  <c r="T287" i="1"/>
  <c r="M287" i="1"/>
  <c r="I287" i="1"/>
  <c r="J287" i="1" s="1"/>
  <c r="K287" i="1" s="1"/>
  <c r="G287" i="1"/>
  <c r="T286" i="1"/>
  <c r="M286" i="1"/>
  <c r="G286" i="1"/>
  <c r="I286" i="1" s="1"/>
  <c r="J286" i="1" s="1"/>
  <c r="K286" i="1" s="1"/>
  <c r="T285" i="1"/>
  <c r="M285" i="1"/>
  <c r="I285" i="1"/>
  <c r="J285" i="1" s="1"/>
  <c r="K285" i="1" s="1"/>
  <c r="G285" i="1"/>
  <c r="T284" i="1"/>
  <c r="M284" i="1"/>
  <c r="G284" i="1"/>
  <c r="I284" i="1" s="1"/>
  <c r="J284" i="1" s="1"/>
  <c r="K284" i="1" s="1"/>
  <c r="T283" i="1"/>
  <c r="M283" i="1"/>
  <c r="G283" i="1" s="1"/>
  <c r="I283" i="1" s="1"/>
  <c r="J283" i="1" s="1"/>
  <c r="K283" i="1" s="1"/>
  <c r="T282" i="1"/>
  <c r="P282" i="1"/>
  <c r="N282" i="1"/>
  <c r="M282" i="1"/>
  <c r="G282" i="1"/>
  <c r="H282" i="1" s="1"/>
  <c r="T281" i="1"/>
  <c r="P281" i="1"/>
  <c r="N281" i="1"/>
  <c r="M281" i="1"/>
  <c r="G281" i="1" s="1"/>
  <c r="T280" i="1"/>
  <c r="P280" i="1"/>
  <c r="M280" i="1"/>
  <c r="G280" i="1" s="1"/>
  <c r="F280" i="1"/>
  <c r="I280" i="1" l="1"/>
  <c r="J280" i="1" s="1"/>
  <c r="K280" i="1" s="1"/>
  <c r="H280" i="1"/>
  <c r="H281" i="1"/>
  <c r="I281" i="1"/>
  <c r="J281" i="1" s="1"/>
  <c r="K281" i="1" s="1"/>
  <c r="I282" i="1"/>
  <c r="J282" i="1" s="1"/>
  <c r="K282" i="1" s="1"/>
  <c r="T272" i="1"/>
  <c r="M272" i="1"/>
  <c r="G272" i="1" s="1"/>
  <c r="I272" i="1" s="1"/>
  <c r="J272" i="1" s="1"/>
  <c r="K272" i="1" s="1"/>
  <c r="T271" i="1"/>
  <c r="M271" i="1"/>
  <c r="G271" i="1" s="1"/>
  <c r="I271" i="1" s="1"/>
  <c r="J271" i="1" s="1"/>
  <c r="K271" i="1" s="1"/>
  <c r="T270" i="1"/>
  <c r="M270" i="1"/>
  <c r="G270" i="1"/>
  <c r="I270" i="1" s="1"/>
  <c r="J270" i="1" s="1"/>
  <c r="K270" i="1" s="1"/>
  <c r="T269" i="1"/>
  <c r="M269" i="1"/>
  <c r="G269" i="1" s="1"/>
  <c r="I269" i="1" s="1"/>
  <c r="J269" i="1" s="1"/>
  <c r="K269" i="1" s="1"/>
  <c r="T268" i="1"/>
  <c r="M268" i="1"/>
  <c r="G268" i="1"/>
  <c r="I268" i="1" s="1"/>
  <c r="J268" i="1" s="1"/>
  <c r="K268" i="1" s="1"/>
  <c r="T267" i="1"/>
  <c r="P267" i="1"/>
  <c r="N267" i="1"/>
  <c r="M267" i="1"/>
  <c r="G267" i="1" s="1"/>
  <c r="T266" i="1"/>
  <c r="P266" i="1"/>
  <c r="N266" i="1"/>
  <c r="M266" i="1"/>
  <c r="G266" i="1" s="1"/>
  <c r="H266" i="1" s="1"/>
  <c r="T265" i="1"/>
  <c r="P265" i="1"/>
  <c r="M265" i="1"/>
  <c r="G265" i="1" s="1"/>
  <c r="H265" i="1" s="1"/>
  <c r="F265" i="1"/>
  <c r="T257" i="1"/>
  <c r="M257" i="1"/>
  <c r="I257" i="1"/>
  <c r="J257" i="1" s="1"/>
  <c r="K257" i="1" s="1"/>
  <c r="G257" i="1"/>
  <c r="T256" i="1"/>
  <c r="M256" i="1"/>
  <c r="I256" i="1"/>
  <c r="J256" i="1" s="1"/>
  <c r="K256" i="1" s="1"/>
  <c r="G256" i="1"/>
  <c r="T255" i="1"/>
  <c r="M255" i="1"/>
  <c r="I255" i="1"/>
  <c r="J255" i="1" s="1"/>
  <c r="K255" i="1" s="1"/>
  <c r="G255" i="1"/>
  <c r="T254" i="1"/>
  <c r="M254" i="1"/>
  <c r="I254" i="1"/>
  <c r="J254" i="1" s="1"/>
  <c r="K254" i="1" s="1"/>
  <c r="G254" i="1"/>
  <c r="T253" i="1"/>
  <c r="M253" i="1"/>
  <c r="I253" i="1"/>
  <c r="J253" i="1" s="1"/>
  <c r="K253" i="1" s="1"/>
  <c r="G253" i="1"/>
  <c r="T252" i="1"/>
  <c r="P252" i="1"/>
  <c r="N252" i="1"/>
  <c r="M252" i="1"/>
  <c r="G252" i="1"/>
  <c r="I252" i="1" s="1"/>
  <c r="J252" i="1" s="1"/>
  <c r="K252" i="1" s="1"/>
  <c r="T251" i="1"/>
  <c r="P251" i="1"/>
  <c r="N251" i="1"/>
  <c r="M251" i="1"/>
  <c r="G251" i="1" s="1"/>
  <c r="T250" i="1"/>
  <c r="P250" i="1"/>
  <c r="M250" i="1"/>
  <c r="G250" i="1" s="1"/>
  <c r="F250" i="1"/>
  <c r="T242" i="1"/>
  <c r="M242" i="1"/>
  <c r="G242" i="1"/>
  <c r="I242" i="1" s="1"/>
  <c r="J242" i="1" s="1"/>
  <c r="K242" i="1" s="1"/>
  <c r="T241" i="1"/>
  <c r="M241" i="1"/>
  <c r="G241" i="1" s="1"/>
  <c r="I241" i="1" s="1"/>
  <c r="J241" i="1" s="1"/>
  <c r="K241" i="1" s="1"/>
  <c r="T240" i="1"/>
  <c r="M240" i="1"/>
  <c r="G240" i="1"/>
  <c r="I240" i="1" s="1"/>
  <c r="J240" i="1" s="1"/>
  <c r="K240" i="1" s="1"/>
  <c r="T239" i="1"/>
  <c r="M239" i="1"/>
  <c r="G239" i="1" s="1"/>
  <c r="I239" i="1" s="1"/>
  <c r="J239" i="1" s="1"/>
  <c r="K239" i="1" s="1"/>
  <c r="T238" i="1"/>
  <c r="M238" i="1"/>
  <c r="G238" i="1" s="1"/>
  <c r="I238" i="1" s="1"/>
  <c r="J238" i="1" s="1"/>
  <c r="K238" i="1" s="1"/>
  <c r="T237" i="1"/>
  <c r="P237" i="1"/>
  <c r="N237" i="1"/>
  <c r="M237" i="1"/>
  <c r="G237" i="1" s="1"/>
  <c r="T236" i="1"/>
  <c r="P236" i="1"/>
  <c r="N236" i="1"/>
  <c r="M236" i="1"/>
  <c r="G236" i="1" s="1"/>
  <c r="H236" i="1" s="1"/>
  <c r="T235" i="1"/>
  <c r="P235" i="1"/>
  <c r="M235" i="1"/>
  <c r="G235" i="1" s="1"/>
  <c r="H235" i="1" s="1"/>
  <c r="F235" i="1"/>
  <c r="I267" i="1" l="1"/>
  <c r="J267" i="1" s="1"/>
  <c r="K267" i="1" s="1"/>
  <c r="H267" i="1"/>
  <c r="I266" i="1"/>
  <c r="J266" i="1" s="1"/>
  <c r="K266" i="1" s="1"/>
  <c r="I265" i="1"/>
  <c r="J265" i="1" s="1"/>
  <c r="K265" i="1" s="1"/>
  <c r="I250" i="1"/>
  <c r="J250" i="1" s="1"/>
  <c r="K250" i="1" s="1"/>
  <c r="H250" i="1"/>
  <c r="I251" i="1"/>
  <c r="J251" i="1" s="1"/>
  <c r="K251" i="1" s="1"/>
  <c r="H251" i="1"/>
  <c r="H252" i="1"/>
  <c r="I237" i="1"/>
  <c r="J237" i="1" s="1"/>
  <c r="K237" i="1" s="1"/>
  <c r="H237" i="1"/>
  <c r="I235" i="1"/>
  <c r="J235" i="1" s="1"/>
  <c r="K235" i="1" s="1"/>
  <c r="I236" i="1"/>
  <c r="J236" i="1" s="1"/>
  <c r="K236" i="1" s="1"/>
  <c r="T16" i="1"/>
  <c r="M16" i="1"/>
  <c r="I16" i="1"/>
  <c r="J16" i="1" s="1"/>
  <c r="K16" i="1" s="1"/>
  <c r="G16" i="1"/>
  <c r="T15" i="1"/>
  <c r="M15" i="1"/>
  <c r="I15" i="1"/>
  <c r="J15" i="1" s="1"/>
  <c r="K15" i="1" s="1"/>
  <c r="G15" i="1"/>
  <c r="T14" i="1"/>
  <c r="M14" i="1"/>
  <c r="I14" i="1"/>
  <c r="J14" i="1" s="1"/>
  <c r="K14" i="1" s="1"/>
  <c r="G14" i="1"/>
  <c r="T13" i="1"/>
  <c r="M13" i="1"/>
  <c r="I13" i="1"/>
  <c r="J13" i="1" s="1"/>
  <c r="K13" i="1" s="1"/>
  <c r="G13" i="1"/>
  <c r="T12" i="1"/>
  <c r="M12" i="1"/>
  <c r="I12" i="1"/>
  <c r="J12" i="1" s="1"/>
  <c r="K12" i="1" s="1"/>
  <c r="G12" i="1"/>
  <c r="T11" i="1"/>
  <c r="P11" i="1"/>
  <c r="N11" i="1"/>
  <c r="M11" i="1"/>
  <c r="G11" i="1"/>
  <c r="I11" i="1" s="1"/>
  <c r="J11" i="1" s="1"/>
  <c r="K11" i="1" s="1"/>
  <c r="T10" i="1"/>
  <c r="P10" i="1"/>
  <c r="N10" i="1"/>
  <c r="M10" i="1"/>
  <c r="G10" i="1" s="1"/>
  <c r="T9" i="1"/>
  <c r="P9" i="1"/>
  <c r="M9" i="1"/>
  <c r="G9" i="1" s="1"/>
  <c r="F9" i="1"/>
  <c r="H9" i="1" l="1"/>
  <c r="I9" i="1"/>
  <c r="J9" i="1" s="1"/>
  <c r="K9" i="1" s="1"/>
  <c r="H10" i="1"/>
  <c r="I10" i="1"/>
  <c r="J10" i="1" s="1"/>
  <c r="K10" i="1" s="1"/>
  <c r="H11" i="1"/>
  <c r="F219" i="1"/>
  <c r="F204" i="1"/>
  <c r="F189" i="1"/>
  <c r="F174" i="1" l="1"/>
  <c r="F159" i="1"/>
  <c r="F144" i="1"/>
  <c r="F129" i="1" l="1"/>
  <c r="F114" i="1"/>
  <c r="F99" i="1"/>
  <c r="F84" i="1" l="1"/>
  <c r="F69" i="1"/>
  <c r="F54" i="1"/>
  <c r="F39" i="1"/>
  <c r="F24" i="1"/>
</calcChain>
</file>

<file path=xl/sharedStrings.xml><?xml version="1.0" encoding="utf-8"?>
<sst xmlns="http://schemas.openxmlformats.org/spreadsheetml/2006/main" count="649" uniqueCount="34">
  <si>
    <t>,</t>
  </si>
  <si>
    <t>Измеренное значение</t>
  </si>
  <si>
    <t>№</t>
  </si>
  <si>
    <t>нЗв/ч</t>
  </si>
  <si>
    <t xml:space="preserve"> R, см</t>
  </si>
  <si>
    <t>,нЗв/ч</t>
  </si>
  <si>
    <t>, %</t>
  </si>
  <si>
    <t>фон</t>
  </si>
  <si>
    <t>0НА</t>
  </si>
  <si>
    <t>299.003</t>
  </si>
  <si>
    <t>9XK</t>
  </si>
  <si>
    <t>043</t>
  </si>
  <si>
    <t>163</t>
  </si>
  <si>
    <t>415.001</t>
  </si>
  <si>
    <t>415.777</t>
  </si>
  <si>
    <t>396.017</t>
  </si>
  <si>
    <t>98.002</t>
  </si>
  <si>
    <t>Используется как шаблон</t>
  </si>
  <si>
    <t>281.015</t>
  </si>
  <si>
    <t>281.016</t>
  </si>
  <si>
    <t>281.017</t>
  </si>
  <si>
    <t>777.777</t>
  </si>
  <si>
    <t xml:space="preserve">Изотопные технологии </t>
  </si>
  <si>
    <t>Ремонт 316,000</t>
  </si>
  <si>
    <t>316.106</t>
  </si>
  <si>
    <t>316.105</t>
  </si>
  <si>
    <t>316.207</t>
  </si>
  <si>
    <t>316.208</t>
  </si>
  <si>
    <t>316.109</t>
  </si>
  <si>
    <t>316.108</t>
  </si>
  <si>
    <t>Изотопные технологии</t>
  </si>
  <si>
    <t>429.001</t>
  </si>
  <si>
    <t>432.008</t>
  </si>
  <si>
    <t>Доза 433,000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</si>
</sst>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_р_."/>
  </numFmts>
  <fonts count="16" x14ac:knownFonts="1">
    <font>
      <sz val="8"/>
      <color theme="1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9"/>
      <name val="Arial"/>
      <family val="2"/>
      <charset val="204"/>
    </font>
    <font>
      <i/>
      <sz val="10"/>
      <color indexed="23"/>
      <name val="Arial"/>
      <family val="2"/>
      <charset val="204"/>
    </font>
    <font>
      <sz val="10"/>
      <color indexed="58"/>
      <name val="Arial"/>
      <family val="2"/>
      <charset val="204"/>
    </font>
    <font>
      <sz val="18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24"/>
      <color indexed="8"/>
      <name val="Arial"/>
      <family val="2"/>
      <charset val="204"/>
    </font>
    <font>
      <sz val="10"/>
      <color indexed="19"/>
      <name val="Arial"/>
      <family val="2"/>
      <charset val="204"/>
    </font>
    <font>
      <sz val="10"/>
      <color indexed="63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indexed="8"/>
        <bgColor indexed="1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47"/>
      </patternFill>
    </fill>
    <fill>
      <patternFill patternType="solid">
        <fgColor indexed="47"/>
        <bgColor indexed="31"/>
      </patternFill>
    </fill>
    <fill>
      <patternFill patternType="solid">
        <fgColor indexed="16"/>
        <bgColor indexed="10"/>
      </patternFill>
    </fill>
    <fill>
      <patternFill patternType="solid">
        <fgColor indexed="42"/>
        <bgColor indexed="41"/>
      </patternFill>
    </fill>
    <fill>
      <patternFill patternType="solid">
        <fgColor indexed="26"/>
        <bgColor indexed="9"/>
      </patternFill>
    </fill>
    <fill>
      <patternFill patternType="solid">
        <fgColor indexed="13"/>
        <bgColor indexed="34"/>
      </patternFill>
    </fill>
    <fill>
      <patternFill patternType="solid">
        <fgColor indexed="27"/>
        <bgColor indexed="42"/>
      </patternFill>
    </fill>
    <fill>
      <patternFill patternType="solid">
        <fgColor indexed="50"/>
        <bgColor indexed="27"/>
      </patternFill>
    </fill>
    <fill>
      <patternFill patternType="solid">
        <fgColor indexed="10"/>
        <bgColor indexed="16"/>
      </patternFill>
    </fill>
    <fill>
      <patternFill patternType="solid">
        <fgColor indexed="11"/>
        <bgColor indexed="50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double">
        <color indexed="8"/>
      </right>
      <top/>
      <bottom/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8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7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8" borderId="1" applyNumberFormat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7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/>
    <xf numFmtId="1" fontId="1" fillId="0" borderId="0" xfId="1" applyNumberFormat="1"/>
    <xf numFmtId="0" fontId="13" fillId="0" borderId="3" xfId="1" applyFont="1" applyBorder="1" applyAlignment="1">
      <alignment horizontal="center" wrapText="1"/>
    </xf>
    <xf numFmtId="0" fontId="13" fillId="0" borderId="4" xfId="1" applyFont="1" applyBorder="1" applyAlignment="1">
      <alignment horizontal="center" vertical="top" wrapText="1"/>
    </xf>
    <xf numFmtId="0" fontId="13" fillId="0" borderId="4" xfId="1" applyFont="1" applyBorder="1" applyAlignment="1">
      <alignment horizontal="center" wrapText="1"/>
    </xf>
    <xf numFmtId="0" fontId="13" fillId="0" borderId="5" xfId="1" applyFont="1" applyBorder="1" applyAlignment="1">
      <alignment horizontal="center" wrapText="1"/>
    </xf>
    <xf numFmtId="0" fontId="13" fillId="0" borderId="6" xfId="1" applyFont="1" applyBorder="1" applyAlignment="1">
      <alignment horizontal="left" vertical="top"/>
    </xf>
    <xf numFmtId="0" fontId="1" fillId="0" borderId="7" xfId="1" applyBorder="1" applyAlignment="1">
      <alignment horizontal="center" vertical="top" wrapText="1"/>
    </xf>
    <xf numFmtId="0" fontId="1" fillId="0" borderId="8" xfId="1" applyBorder="1"/>
    <xf numFmtId="0" fontId="1" fillId="0" borderId="3" xfId="1" applyBorder="1"/>
    <xf numFmtId="0" fontId="1" fillId="0" borderId="4" xfId="1" applyBorder="1" applyAlignment="1">
      <alignment wrapText="1"/>
    </xf>
    <xf numFmtId="0" fontId="1" fillId="0" borderId="5" xfId="1" applyBorder="1" applyAlignment="1">
      <alignment vertical="top" wrapText="1"/>
    </xf>
    <xf numFmtId="0" fontId="1" fillId="0" borderId="4" xfId="1" applyBorder="1" applyAlignment="1">
      <alignment vertical="top" wrapText="1"/>
    </xf>
    <xf numFmtId="0" fontId="1" fillId="0" borderId="5" xfId="1" applyBorder="1"/>
    <xf numFmtId="0" fontId="13" fillId="0" borderId="9" xfId="1" applyFont="1" applyBorder="1" applyAlignment="1">
      <alignment horizontal="center" wrapText="1"/>
    </xf>
    <xf numFmtId="0" fontId="13" fillId="0" borderId="10" xfId="1" applyFont="1" applyBorder="1" applyAlignment="1">
      <alignment horizontal="center" vertical="top" wrapText="1"/>
    </xf>
    <xf numFmtId="0" fontId="13" fillId="0" borderId="10" xfId="1" applyFont="1" applyBorder="1" applyAlignment="1">
      <alignment horizontal="center" wrapText="1"/>
    </xf>
    <xf numFmtId="0" fontId="13" fillId="0" borderId="11" xfId="1" applyFont="1" applyBorder="1" applyAlignment="1">
      <alignment horizontal="center" wrapText="1"/>
    </xf>
    <xf numFmtId="9" fontId="13" fillId="0" borderId="10" xfId="1" applyNumberFormat="1" applyFont="1" applyBorder="1" applyAlignment="1">
      <alignment horizontal="center" vertical="top" wrapText="1"/>
    </xf>
    <xf numFmtId="0" fontId="1" fillId="0" borderId="11" xfId="1" applyFont="1" applyBorder="1" applyAlignment="1">
      <alignment horizontal="center" wrapText="1"/>
    </xf>
    <xf numFmtId="11" fontId="1" fillId="0" borderId="10" xfId="1" applyNumberFormat="1" applyFont="1" applyBorder="1" applyAlignment="1">
      <alignment horizontal="center" wrapText="1"/>
    </xf>
    <xf numFmtId="0" fontId="1" fillId="0" borderId="10" xfId="1" applyFont="1" applyBorder="1" applyAlignment="1">
      <alignment horizontal="center" vertical="top" wrapText="1"/>
    </xf>
    <xf numFmtId="164" fontId="1" fillId="0" borderId="10" xfId="1" applyNumberFormat="1" applyFont="1" applyBorder="1" applyAlignment="1">
      <alignment horizontal="center" vertical="top" wrapText="1"/>
    </xf>
    <xf numFmtId="164" fontId="1" fillId="0" borderId="10" xfId="1" applyNumberFormat="1" applyFont="1" applyBorder="1" applyAlignment="1">
      <alignment horizontal="center" wrapText="1"/>
    </xf>
    <xf numFmtId="0" fontId="1" fillId="0" borderId="10" xfId="1" applyFont="1" applyBorder="1" applyAlignment="1">
      <alignment horizontal="center" wrapText="1"/>
    </xf>
    <xf numFmtId="0" fontId="1" fillId="0" borderId="12" xfId="1" applyBorder="1"/>
    <xf numFmtId="0" fontId="1" fillId="10" borderId="0" xfId="1" applyFill="1"/>
    <xf numFmtId="0" fontId="1" fillId="9" borderId="3" xfId="1" applyFill="1" applyBorder="1" applyAlignment="1">
      <alignment horizontal="center"/>
    </xf>
    <xf numFmtId="0" fontId="1" fillId="7" borderId="0" xfId="1" applyFill="1"/>
    <xf numFmtId="0" fontId="1" fillId="11" borderId="0" xfId="1" applyNumberFormat="1" applyFill="1"/>
    <xf numFmtId="165" fontId="1" fillId="0" borderId="0" xfId="1" applyNumberFormat="1"/>
    <xf numFmtId="0" fontId="1" fillId="0" borderId="14" xfId="1" applyBorder="1"/>
    <xf numFmtId="11" fontId="1" fillId="12" borderId="0" xfId="1" applyNumberFormat="1" applyFill="1" applyBorder="1"/>
    <xf numFmtId="0" fontId="1" fillId="9" borderId="4" xfId="1" applyFill="1" applyBorder="1" applyAlignment="1">
      <alignment horizontal="center"/>
    </xf>
    <xf numFmtId="11" fontId="1" fillId="10" borderId="0" xfId="1" applyNumberFormat="1" applyFill="1"/>
    <xf numFmtId="49" fontId="15" fillId="0" borderId="0" xfId="1" applyNumberFormat="1" applyFont="1" applyAlignment="1">
      <alignment horizontal="center"/>
    </xf>
    <xf numFmtId="49" fontId="1" fillId="0" borderId="10" xfId="1" applyNumberFormat="1" applyFont="1" applyBorder="1" applyAlignment="1">
      <alignment horizontal="center" vertical="top" wrapText="1"/>
    </xf>
    <xf numFmtId="0" fontId="1" fillId="12" borderId="0" xfId="1" applyFill="1" applyBorder="1"/>
    <xf numFmtId="0" fontId="14" fillId="0" borderId="2" xfId="1" applyFont="1" applyBorder="1"/>
    <xf numFmtId="0" fontId="1" fillId="0" borderId="15" xfId="1" applyBorder="1"/>
    <xf numFmtId="0" fontId="1" fillId="12" borderId="2" xfId="1" applyFill="1" applyBorder="1"/>
    <xf numFmtId="0" fontId="1" fillId="9" borderId="10" xfId="1" applyFill="1" applyBorder="1" applyAlignment="1">
      <alignment horizontal="center"/>
    </xf>
    <xf numFmtId="11" fontId="1" fillId="13" borderId="13" xfId="1" applyNumberFormat="1" applyFill="1" applyBorder="1"/>
    <xf numFmtId="0" fontId="13" fillId="0" borderId="8" xfId="1" applyFont="1" applyBorder="1" applyAlignment="1">
      <alignment horizontal="center" vertical="top" wrapText="1"/>
    </xf>
    <xf numFmtId="0" fontId="13" fillId="0" borderId="8" xfId="1" applyFont="1" applyBorder="1" applyAlignment="1">
      <alignment horizontal="center" wrapText="1"/>
    </xf>
    <xf numFmtId="0" fontId="13" fillId="0" borderId="11" xfId="1" applyFont="1" applyBorder="1" applyAlignment="1">
      <alignment horizontal="center" vertical="top" wrapText="1"/>
    </xf>
    <xf numFmtId="49" fontId="14" fillId="0" borderId="0" xfId="1" applyNumberFormat="1" applyFont="1" applyAlignment="1">
      <alignment horizontal="right"/>
    </xf>
    <xf numFmtId="0" fontId="1" fillId="0" borderId="0" xfId="1" applyFill="1"/>
    <xf numFmtId="11" fontId="1" fillId="0" borderId="0" xfId="1" applyNumberFormat="1" applyFill="1"/>
    <xf numFmtId="164" fontId="14" fillId="0" borderId="0" xfId="1" applyNumberFormat="1" applyFont="1"/>
    <xf numFmtId="0" fontId="1" fillId="0" borderId="16" xfId="1" applyBorder="1"/>
    <xf numFmtId="0" fontId="1" fillId="0" borderId="17" xfId="1" applyBorder="1"/>
    <xf numFmtId="0" fontId="5" fillId="6" borderId="0" xfId="7"/>
    <xf numFmtId="0" fontId="0" fillId="0" borderId="16" xfId="0" applyBorder="1"/>
    <xf numFmtId="0" fontId="13" fillId="0" borderId="3" xfId="0" applyFont="1" applyBorder="1" applyAlignment="1">
      <alignment horizontal="center" wrapText="1"/>
    </xf>
    <xf numFmtId="0" fontId="13" fillId="0" borderId="8" xfId="0" applyFont="1" applyBorder="1" applyAlignment="1">
      <alignment horizontal="center" vertical="top" wrapText="1"/>
    </xf>
    <xf numFmtId="0" fontId="13" fillId="0" borderId="8" xfId="0" applyFont="1" applyBorder="1" applyAlignment="1">
      <alignment horizontal="center" wrapText="1"/>
    </xf>
    <xf numFmtId="0" fontId="13" fillId="0" borderId="6" xfId="0" applyFont="1" applyBorder="1" applyAlignment="1">
      <alignment horizontal="left" vertical="top"/>
    </xf>
    <xf numFmtId="0" fontId="0" fillId="0" borderId="7" xfId="0" applyBorder="1" applyAlignment="1">
      <alignment horizontal="center" vertical="top" wrapText="1"/>
    </xf>
    <xf numFmtId="0" fontId="0" fillId="0" borderId="8" xfId="0" applyBorder="1"/>
    <xf numFmtId="0" fontId="0" fillId="0" borderId="3" xfId="0" applyBorder="1"/>
    <xf numFmtId="11" fontId="0" fillId="0" borderId="0" xfId="0" applyNumberFormat="1" applyFill="1"/>
    <xf numFmtId="0" fontId="0" fillId="0" borderId="0" xfId="0" applyFill="1"/>
    <xf numFmtId="0" fontId="13" fillId="0" borderId="4" xfId="0" applyFont="1" applyBorder="1" applyAlignment="1">
      <alignment horizontal="center" wrapText="1"/>
    </xf>
    <xf numFmtId="0" fontId="0" fillId="0" borderId="5" xfId="0" applyBorder="1"/>
    <xf numFmtId="0" fontId="0" fillId="0" borderId="4" xfId="0" applyBorder="1" applyAlignment="1">
      <alignment wrapText="1"/>
    </xf>
    <xf numFmtId="0" fontId="13" fillId="0" borderId="5" xfId="0" applyFont="1" applyBorder="1" applyAlignment="1">
      <alignment horizontal="center" wrapText="1"/>
    </xf>
    <xf numFmtId="0" fontId="13" fillId="0" borderId="4" xfId="0" applyFont="1" applyBorder="1" applyAlignment="1">
      <alignment horizontal="center" vertical="top" wrapText="1"/>
    </xf>
    <xf numFmtId="0" fontId="0" fillId="0" borderId="5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14" xfId="0" applyBorder="1"/>
    <xf numFmtId="0" fontId="0" fillId="0" borderId="17" xfId="0" applyBorder="1"/>
    <xf numFmtId="0" fontId="13" fillId="0" borderId="9" xfId="0" applyFont="1" applyBorder="1" applyAlignment="1">
      <alignment horizontal="center" wrapText="1"/>
    </xf>
    <xf numFmtId="0" fontId="13" fillId="0" borderId="11" xfId="0" applyFont="1" applyBorder="1" applyAlignment="1">
      <alignment horizontal="center" vertical="top" wrapText="1"/>
    </xf>
    <xf numFmtId="0" fontId="13" fillId="0" borderId="10" xfId="0" applyFont="1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0" xfId="0" applyFont="1" applyBorder="1" applyAlignment="1">
      <alignment horizontal="center" vertical="top" wrapText="1"/>
    </xf>
    <xf numFmtId="9" fontId="13" fillId="0" borderId="10" xfId="0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14" fillId="0" borderId="0" xfId="0" applyNumberFormat="1" applyFont="1" applyAlignment="1">
      <alignment horizontal="right"/>
    </xf>
    <xf numFmtId="0" fontId="0" fillId="0" borderId="11" xfId="0" applyFont="1" applyBorder="1" applyAlignment="1">
      <alignment horizontal="center" wrapText="1"/>
    </xf>
    <xf numFmtId="11" fontId="0" fillId="0" borderId="10" xfId="0" applyNumberFormat="1" applyFont="1" applyBorder="1" applyAlignment="1">
      <alignment horizontal="center" wrapText="1"/>
    </xf>
    <xf numFmtId="0" fontId="0" fillId="0" borderId="10" xfId="0" applyFont="1" applyBorder="1" applyAlignment="1">
      <alignment horizontal="center" vertical="top" wrapText="1"/>
    </xf>
    <xf numFmtId="164" fontId="0" fillId="0" borderId="10" xfId="0" applyNumberFormat="1" applyFont="1" applyBorder="1" applyAlignment="1">
      <alignment horizontal="center" vertical="top" wrapText="1"/>
    </xf>
    <xf numFmtId="164" fontId="0" fillId="0" borderId="10" xfId="0" applyNumberFormat="1" applyFont="1" applyBorder="1" applyAlignment="1">
      <alignment horizontal="center" wrapText="1"/>
    </xf>
    <xf numFmtId="0" fontId="0" fillId="0" borderId="10" xfId="0" applyFont="1" applyBorder="1" applyAlignment="1">
      <alignment horizontal="center" wrapText="1"/>
    </xf>
    <xf numFmtId="0" fontId="0" fillId="0" borderId="12" xfId="0" applyBorder="1"/>
    <xf numFmtId="0" fontId="0" fillId="10" borderId="0" xfId="0" applyFill="1"/>
    <xf numFmtId="11" fontId="0" fillId="13" borderId="13" xfId="0" applyNumberFormat="1" applyFill="1" applyBorder="1"/>
    <xf numFmtId="0" fontId="0" fillId="9" borderId="3" xfId="0" applyFill="1" applyBorder="1" applyAlignment="1">
      <alignment horizontal="center"/>
    </xf>
    <xf numFmtId="0" fontId="14" fillId="0" borderId="0" xfId="0" applyFont="1"/>
    <xf numFmtId="0" fontId="0" fillId="7" borderId="0" xfId="0" applyFill="1"/>
    <xf numFmtId="0" fontId="0" fillId="11" borderId="0" xfId="0" applyNumberFormat="1" applyFill="1"/>
    <xf numFmtId="165" fontId="0" fillId="0" borderId="0" xfId="0" applyNumberFormat="1"/>
    <xf numFmtId="164" fontId="14" fillId="0" borderId="0" xfId="0" applyNumberFormat="1" applyFont="1"/>
    <xf numFmtId="11" fontId="0" fillId="12" borderId="0" xfId="0" applyNumberFormat="1" applyFill="1" applyBorder="1"/>
    <xf numFmtId="0" fontId="0" fillId="9" borderId="4" xfId="0" applyFill="1" applyBorder="1" applyAlignment="1">
      <alignment horizontal="center"/>
    </xf>
    <xf numFmtId="11" fontId="0" fillId="10" borderId="0" xfId="0" applyNumberFormat="1" applyFill="1"/>
    <xf numFmtId="49" fontId="15" fillId="0" borderId="0" xfId="0" applyNumberFormat="1" applyFont="1" applyAlignment="1">
      <alignment horizontal="center"/>
    </xf>
    <xf numFmtId="49" fontId="0" fillId="0" borderId="10" xfId="0" applyNumberFormat="1" applyFont="1" applyBorder="1" applyAlignment="1">
      <alignment horizontal="center" vertical="top" wrapText="1"/>
    </xf>
    <xf numFmtId="0" fontId="0" fillId="12" borderId="0" xfId="0" applyFill="1" applyBorder="1"/>
    <xf numFmtId="1" fontId="0" fillId="0" borderId="0" xfId="0" applyNumberFormat="1"/>
    <xf numFmtId="0" fontId="14" fillId="0" borderId="2" xfId="0" applyFont="1" applyBorder="1"/>
    <xf numFmtId="0" fontId="0" fillId="0" borderId="15" xfId="0" applyBorder="1"/>
    <xf numFmtId="0" fontId="0" fillId="12" borderId="2" xfId="0" applyFill="1" applyBorder="1"/>
    <xf numFmtId="0" fontId="0" fillId="9" borderId="10" xfId="0" applyFill="1" applyBorder="1" applyAlignment="1">
      <alignment horizontal="center"/>
    </xf>
    <xf numFmtId="0" fontId="0" fillId="14" borderId="0" xfId="0" applyFill="1"/>
    <xf numFmtId="0" fontId="0" fillId="15" borderId="0" xfId="0" applyFill="1"/>
    <xf numFmtId="0" fontId="0" fillId="0" borderId="0" xfId="0" applyFont="1" applyFill="1" applyBorder="1" applyAlignment="1">
      <alignment horizontal="center" wrapText="1"/>
    </xf>
    <xf numFmtId="11" fontId="0" fillId="0" borderId="18" xfId="0" applyNumberFormat="1" applyFont="1" applyBorder="1" applyAlignment="1">
      <alignment horizontal="center" vertical="center" wrapText="1"/>
    </xf>
    <xf numFmtId="11" fontId="1" fillId="0" borderId="8" xfId="1" applyNumberFormat="1" applyFont="1" applyBorder="1" applyAlignment="1">
      <alignment horizontal="center" vertical="center" wrapText="1"/>
    </xf>
    <xf numFmtId="11" fontId="1" fillId="0" borderId="5" xfId="1" applyNumberFormat="1" applyFont="1" applyBorder="1" applyAlignment="1">
      <alignment horizontal="center" vertical="center" wrapText="1"/>
    </xf>
    <xf numFmtId="11" fontId="1" fillId="0" borderId="11" xfId="1" applyNumberFormat="1" applyFont="1" applyBorder="1" applyAlignment="1">
      <alignment horizontal="center" vertical="center" wrapText="1"/>
    </xf>
    <xf numFmtId="0" fontId="0" fillId="16" borderId="0" xfId="0" applyFill="1"/>
  </cellXfs>
  <cellStyles count="18">
    <cellStyle name="Accent" xfId="2"/>
    <cellStyle name="Accent 1" xfId="3"/>
    <cellStyle name="Accent 2" xfId="4"/>
    <cellStyle name="Accent 3" xfId="5"/>
    <cellStyle name="Bad 2" xfId="6"/>
    <cellStyle name="Error" xfId="7"/>
    <cellStyle name="Footnote" xfId="8"/>
    <cellStyle name="Good 2" xfId="9"/>
    <cellStyle name="Heading 1 2" xfId="10"/>
    <cellStyle name="Heading 2 2" xfId="11"/>
    <cellStyle name="Heading 3 2" xfId="12"/>
    <cellStyle name="Neutral 2" xfId="13"/>
    <cellStyle name="Normal 2" xfId="1"/>
    <cellStyle name="Note 2" xfId="14"/>
    <cellStyle name="Status" xfId="15"/>
    <cellStyle name="Text" xfId="16"/>
    <cellStyle name="Warning" xfId="17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wserv4\&#1087;&#1088;&#1086;&#1080;&#1079;&#1074;&#1086;&#1076;&#1089;&#1090;&#1074;&#1086;\&#1059;&#1095;&#1072;&#1089;&#1090;&#1086;&#1082;%20&#1056;&#1048;&#1080;&#1056;\&#1041;&#1072;&#1079;&#1072;%20&#1089;&#1077;&#1088;&#1090;&#1080;&#1092;&#1080;&#1082;&#1072;&#1090;&#1086;&#1074;%20&#1080;%20&#1087;&#1086;&#1074;&#1077;&#1088;&#1086;&#1082;\Protokols\&#1057;&#1056;&#1050;-&#1040;&#1058;2327\&#1056;&#1072;&#1089;&#1095;&#1077;&#1090;%20&#1087;&#1088;&#1086;&#1090;&#1086;&#1082;&#1086;&#1083;&#1086;&#1074;%20&#1087;&#1086;&#1074;&#1077;&#1088;&#1082;&#1080;%20&#1041;&#1044;&#1050;&#1043;-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алибровочные значения"/>
      <sheetName val="Протокол"/>
      <sheetName val="Коэффициенты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T425"/>
  <sheetViews>
    <sheetView tabSelected="1" topLeftCell="A396" zoomScale="90" zoomScaleNormal="90" workbookViewId="0">
      <selection activeCell="A427" sqref="A427"/>
    </sheetView>
  </sheetViews>
  <sheetFormatPr defaultRowHeight="11.25" x14ac:dyDescent="0.2"/>
  <cols>
    <col min="3" max="3" width="11.83203125" customWidth="1"/>
    <col min="6" max="6" width="11.5" customWidth="1"/>
    <col min="7" max="7" width="11.33203125" customWidth="1"/>
    <col min="8" max="8" width="11.83203125" customWidth="1"/>
    <col min="11" max="11" width="11.83203125" customWidth="1"/>
    <col min="13" max="13" width="11.33203125" customWidth="1"/>
    <col min="14" max="14" width="11.5" customWidth="1"/>
    <col min="16" max="16" width="16.83203125" customWidth="1"/>
    <col min="19" max="19" width="14.5" customWidth="1"/>
    <col min="20" max="20" width="17.5" customWidth="1"/>
  </cols>
  <sheetData>
    <row r="3" spans="1:20" ht="12.75" x14ac:dyDescent="0.2">
      <c r="A3" s="55" t="s">
        <v>17</v>
      </c>
      <c r="B3" s="55"/>
      <c r="C3" s="55"/>
    </row>
    <row r="4" spans="1:20" ht="12" thickBot="1" x14ac:dyDescent="0.25"/>
    <row r="5" spans="1:20" ht="13.5" thickBot="1" x14ac:dyDescent="0.25">
      <c r="A5" s="56"/>
      <c r="B5" s="57"/>
      <c r="C5" s="58" t="s">
        <v>0</v>
      </c>
      <c r="D5" s="57"/>
      <c r="E5" s="59"/>
      <c r="F5" s="60" t="s">
        <v>1</v>
      </c>
      <c r="G5" s="61"/>
      <c r="H5" s="59"/>
      <c r="I5" s="62"/>
      <c r="J5" s="63"/>
      <c r="K5" s="63"/>
      <c r="M5" s="64"/>
      <c r="O5" s="65"/>
    </row>
    <row r="6" spans="1:20" ht="12.75" x14ac:dyDescent="0.2">
      <c r="A6" s="56"/>
      <c r="B6" s="66"/>
      <c r="C6" s="67"/>
      <c r="D6" s="68"/>
      <c r="E6" s="69"/>
      <c r="F6" s="70"/>
      <c r="G6" s="70"/>
      <c r="H6" s="69"/>
      <c r="I6" s="71"/>
      <c r="J6" s="72"/>
      <c r="K6" s="72"/>
      <c r="L6" s="73"/>
      <c r="M6" s="64"/>
    </row>
    <row r="7" spans="1:20" ht="12.75" x14ac:dyDescent="0.2">
      <c r="A7" s="56"/>
      <c r="B7" s="66"/>
      <c r="C7" s="71"/>
      <c r="D7" s="67"/>
      <c r="E7" s="69"/>
      <c r="F7" s="70" t="s">
        <v>0</v>
      </c>
      <c r="G7" s="70" t="s">
        <v>0</v>
      </c>
      <c r="H7" s="69"/>
      <c r="I7" s="72"/>
      <c r="J7" s="72"/>
      <c r="K7" s="72"/>
      <c r="L7" s="73"/>
      <c r="M7" s="64"/>
    </row>
    <row r="8" spans="1:20" ht="13.5" thickBot="1" x14ac:dyDescent="0.25">
      <c r="A8" s="74"/>
      <c r="B8" s="75" t="s">
        <v>2</v>
      </c>
      <c r="C8" s="76" t="s">
        <v>3</v>
      </c>
      <c r="D8" s="77" t="s">
        <v>2</v>
      </c>
      <c r="E8" s="78" t="s">
        <v>4</v>
      </c>
      <c r="F8" s="79" t="s">
        <v>3</v>
      </c>
      <c r="G8" s="79" t="s">
        <v>3</v>
      </c>
      <c r="H8" s="78" t="s">
        <v>5</v>
      </c>
      <c r="I8" s="79" t="s">
        <v>6</v>
      </c>
      <c r="J8" s="79" t="s">
        <v>6</v>
      </c>
      <c r="K8" s="80">
        <v>0.15</v>
      </c>
      <c r="M8" s="64"/>
      <c r="N8" s="81" t="s">
        <v>7</v>
      </c>
    </row>
    <row r="9" spans="1:20" ht="14.25" thickTop="1" thickBot="1" x14ac:dyDescent="0.25">
      <c r="A9" s="82"/>
      <c r="B9" s="83">
        <v>1</v>
      </c>
      <c r="C9" s="84">
        <v>700</v>
      </c>
      <c r="D9" s="85" t="s">
        <v>8</v>
      </c>
      <c r="E9" s="86">
        <v>241.9</v>
      </c>
      <c r="F9" s="112">
        <f>N9</f>
        <v>104</v>
      </c>
      <c r="G9" s="84">
        <f t="shared" ref="G9:G16" si="0">M9</f>
        <v>800</v>
      </c>
      <c r="H9" s="84">
        <f>G9-N9</f>
        <v>696</v>
      </c>
      <c r="I9" s="87">
        <f t="shared" ref="I9:I16" si="1">((G9-N9)-C9)/C9*100</f>
        <v>-0.5714285714285714</v>
      </c>
      <c r="J9" s="87">
        <f t="shared" ref="J9:J16" si="2">1.1+SQRT(O9^2+I9^2)</f>
        <v>6.1325471296595815</v>
      </c>
      <c r="K9" s="88" t="e">
        <f t="shared" ref="K9:K16" si="3">TEXT(J9,"0.0")&amp;"&lt;15"</f>
        <v>#VALUE!</v>
      </c>
      <c r="L9" s="89"/>
      <c r="M9" s="90">
        <f>R9*10^3+100</f>
        <v>800</v>
      </c>
      <c r="N9" s="91">
        <v>104</v>
      </c>
      <c r="O9" s="92">
        <v>5</v>
      </c>
      <c r="P9" s="93">
        <f>A9</f>
        <v>0</v>
      </c>
      <c r="Q9" s="94">
        <v>0.82040000000000002</v>
      </c>
      <c r="R9" s="95">
        <v>0.7</v>
      </c>
      <c r="S9">
        <v>1000</v>
      </c>
      <c r="T9" s="96">
        <f t="shared" ref="T9:T16" si="4">Q9*S9</f>
        <v>820.4</v>
      </c>
    </row>
    <row r="10" spans="1:20" ht="13.5" thickBot="1" x14ac:dyDescent="0.25">
      <c r="A10" s="97" t="s">
        <v>9</v>
      </c>
      <c r="B10" s="83">
        <v>2</v>
      </c>
      <c r="C10" s="84">
        <v>7000</v>
      </c>
      <c r="D10" s="85" t="s">
        <v>8</v>
      </c>
      <c r="E10" s="86">
        <v>77.400000000000006</v>
      </c>
      <c r="F10" s="112"/>
      <c r="G10" s="84">
        <f t="shared" si="0"/>
        <v>7200</v>
      </c>
      <c r="H10" s="84">
        <f>G10-N10</f>
        <v>7096</v>
      </c>
      <c r="I10" s="87">
        <f t="shared" si="1"/>
        <v>1.3714285714285714</v>
      </c>
      <c r="J10" s="87">
        <f t="shared" si="2"/>
        <v>6.2846712843275423</v>
      </c>
      <c r="K10" s="88" t="e">
        <f t="shared" si="3"/>
        <v>#VALUE!</v>
      </c>
      <c r="L10" s="73"/>
      <c r="M10" s="90">
        <f>R10*10^3+100</f>
        <v>7200</v>
      </c>
      <c r="N10" s="98">
        <f>N9</f>
        <v>104</v>
      </c>
      <c r="O10" s="99">
        <v>5</v>
      </c>
      <c r="P10" s="93" t="e">
        <f>'[1]Калибровочные значения'!#REF!</f>
        <v>#REF!</v>
      </c>
      <c r="Q10" s="94">
        <v>6.9059999999999997</v>
      </c>
      <c r="R10" s="95">
        <v>7.1</v>
      </c>
      <c r="S10">
        <v>1000</v>
      </c>
      <c r="T10" s="96">
        <f t="shared" si="4"/>
        <v>6906</v>
      </c>
    </row>
    <row r="11" spans="1:20" ht="13.5" thickBot="1" x14ac:dyDescent="0.25">
      <c r="A11" s="93"/>
      <c r="B11" s="83">
        <v>3</v>
      </c>
      <c r="C11" s="84">
        <v>70000</v>
      </c>
      <c r="D11" s="85" t="s">
        <v>10</v>
      </c>
      <c r="E11" s="86">
        <v>167.3</v>
      </c>
      <c r="F11" s="112"/>
      <c r="G11" s="84">
        <f t="shared" si="0"/>
        <v>70100</v>
      </c>
      <c r="H11" s="84">
        <f>G11-N11</f>
        <v>69996</v>
      </c>
      <c r="I11" s="87">
        <f t="shared" si="1"/>
        <v>-5.7142857142857143E-3</v>
      </c>
      <c r="J11" s="87">
        <f t="shared" si="2"/>
        <v>5.100004081630571</v>
      </c>
      <c r="K11" s="88" t="e">
        <f t="shared" si="3"/>
        <v>#VALUE!</v>
      </c>
      <c r="L11" s="73"/>
      <c r="M11" s="100">
        <f>R11*10^3+100</f>
        <v>70100</v>
      </c>
      <c r="N11" s="98">
        <f>N9</f>
        <v>104</v>
      </c>
      <c r="O11" s="99">
        <v>4</v>
      </c>
      <c r="P11" s="101" t="e">
        <f>'[1]Калибровочные значения'!#REF!</f>
        <v>#REF!</v>
      </c>
      <c r="Q11" s="94">
        <v>70.12</v>
      </c>
      <c r="R11" s="95">
        <v>70</v>
      </c>
      <c r="S11">
        <v>1000</v>
      </c>
      <c r="T11" s="96">
        <f t="shared" si="4"/>
        <v>70120</v>
      </c>
    </row>
    <row r="12" spans="1:20" ht="13.5" thickBot="1" x14ac:dyDescent="0.25">
      <c r="A12" s="93"/>
      <c r="B12" s="83">
        <v>4</v>
      </c>
      <c r="C12" s="84">
        <v>700000</v>
      </c>
      <c r="D12" s="102" t="s">
        <v>10</v>
      </c>
      <c r="E12" s="86">
        <v>53.7</v>
      </c>
      <c r="F12" s="88"/>
      <c r="G12" s="84">
        <f t="shared" si="0"/>
        <v>690000</v>
      </c>
      <c r="H12" s="88"/>
      <c r="I12" s="87">
        <f t="shared" si="1"/>
        <v>-1.4285714285714286</v>
      </c>
      <c r="J12" s="87">
        <f t="shared" si="2"/>
        <v>5.3474482135195736</v>
      </c>
      <c r="K12" s="88" t="e">
        <f t="shared" si="3"/>
        <v>#VALUE!</v>
      </c>
      <c r="L12" s="73"/>
      <c r="M12" s="100">
        <f>R12*10^6</f>
        <v>690000</v>
      </c>
      <c r="N12" s="103"/>
      <c r="O12" s="99">
        <v>4</v>
      </c>
      <c r="P12" s="93">
        <v>5</v>
      </c>
      <c r="Q12" s="94">
        <v>0.70920000000000005</v>
      </c>
      <c r="R12" s="95">
        <v>0.69</v>
      </c>
      <c r="S12">
        <v>1000000</v>
      </c>
      <c r="T12" s="96">
        <f t="shared" si="4"/>
        <v>709200</v>
      </c>
    </row>
    <row r="13" spans="1:20" ht="13.5" thickBot="1" x14ac:dyDescent="0.25">
      <c r="A13" s="93"/>
      <c r="B13" s="83">
        <v>5</v>
      </c>
      <c r="C13" s="84">
        <v>7000000</v>
      </c>
      <c r="D13" s="102" t="s">
        <v>11</v>
      </c>
      <c r="E13" s="86">
        <v>364.1</v>
      </c>
      <c r="F13" s="88"/>
      <c r="G13" s="84">
        <f t="shared" si="0"/>
        <v>6900000</v>
      </c>
      <c r="H13" s="88"/>
      <c r="I13" s="87">
        <f t="shared" si="1"/>
        <v>-1.4285714285714286</v>
      </c>
      <c r="J13" s="87">
        <f t="shared" si="2"/>
        <v>5.3474482135195736</v>
      </c>
      <c r="K13" s="88" t="e">
        <f t="shared" si="3"/>
        <v>#VALUE!</v>
      </c>
      <c r="L13" s="73"/>
      <c r="M13" s="100">
        <f>R13*10^6</f>
        <v>6900000</v>
      </c>
      <c r="N13" s="103"/>
      <c r="O13" s="99">
        <v>4</v>
      </c>
      <c r="P13" s="93"/>
      <c r="Q13" s="94">
        <v>7.5069999999999997</v>
      </c>
      <c r="R13" s="95">
        <v>6.9</v>
      </c>
      <c r="S13">
        <v>1000000</v>
      </c>
      <c r="T13" s="96">
        <f t="shared" si="4"/>
        <v>7507000</v>
      </c>
    </row>
    <row r="14" spans="1:20" ht="13.5" thickBot="1" x14ac:dyDescent="0.25">
      <c r="A14" s="93"/>
      <c r="B14" s="83">
        <v>6</v>
      </c>
      <c r="C14" s="84">
        <v>70000000</v>
      </c>
      <c r="D14" s="102" t="s">
        <v>11</v>
      </c>
      <c r="E14" s="86">
        <v>116.7</v>
      </c>
      <c r="F14" s="88"/>
      <c r="G14" s="84">
        <f t="shared" si="0"/>
        <v>68000000</v>
      </c>
      <c r="H14" s="88"/>
      <c r="I14" s="87">
        <f t="shared" si="1"/>
        <v>-2.8571428571428572</v>
      </c>
      <c r="J14" s="87">
        <f t="shared" si="2"/>
        <v>6.015614438310072</v>
      </c>
      <c r="K14" s="88" t="e">
        <f t="shared" si="3"/>
        <v>#VALUE!</v>
      </c>
      <c r="L14" s="73"/>
      <c r="M14" s="100">
        <f>R14*10^6</f>
        <v>68000000</v>
      </c>
      <c r="N14" s="103"/>
      <c r="O14" s="99">
        <v>4</v>
      </c>
      <c r="P14" s="93"/>
      <c r="Q14" s="94">
        <v>71.7</v>
      </c>
      <c r="R14" s="95">
        <v>68</v>
      </c>
      <c r="S14">
        <v>1000000</v>
      </c>
      <c r="T14" s="96">
        <f t="shared" si="4"/>
        <v>71700000</v>
      </c>
    </row>
    <row r="15" spans="1:20" ht="13.5" thickBot="1" x14ac:dyDescent="0.25">
      <c r="A15" s="93"/>
      <c r="B15" s="83">
        <v>7</v>
      </c>
      <c r="C15" s="84">
        <v>700000000</v>
      </c>
      <c r="D15" s="102" t="s">
        <v>12</v>
      </c>
      <c r="E15" s="86">
        <v>240.9</v>
      </c>
      <c r="F15" s="88"/>
      <c r="G15" s="84">
        <f t="shared" si="0"/>
        <v>700000000</v>
      </c>
      <c r="H15" s="88"/>
      <c r="I15" s="87">
        <f t="shared" si="1"/>
        <v>0</v>
      </c>
      <c r="J15" s="87">
        <f t="shared" si="2"/>
        <v>5.0999999999999996</v>
      </c>
      <c r="K15" s="88" t="e">
        <f t="shared" si="3"/>
        <v>#VALUE!</v>
      </c>
      <c r="L15" s="73"/>
      <c r="M15" s="100">
        <f>R15*10^9</f>
        <v>700000000</v>
      </c>
      <c r="N15" s="103"/>
      <c r="O15" s="99">
        <v>4</v>
      </c>
      <c r="P15" s="93"/>
      <c r="Q15" s="94">
        <v>0.70069999999999999</v>
      </c>
      <c r="R15" s="95">
        <v>0.7</v>
      </c>
      <c r="S15" s="104">
        <v>1000000000</v>
      </c>
      <c r="T15" s="96">
        <f t="shared" si="4"/>
        <v>700700000</v>
      </c>
    </row>
    <row r="16" spans="1:20" ht="13.5" thickBot="1" x14ac:dyDescent="0.25">
      <c r="A16" s="105"/>
      <c r="B16" s="83">
        <v>8</v>
      </c>
      <c r="C16" s="84">
        <v>7000000000</v>
      </c>
      <c r="D16" s="102" t="s">
        <v>12</v>
      </c>
      <c r="E16" s="86">
        <v>77.5</v>
      </c>
      <c r="F16" s="88"/>
      <c r="G16" s="84">
        <f t="shared" si="0"/>
        <v>7100000000</v>
      </c>
      <c r="H16" s="88"/>
      <c r="I16" s="87">
        <f t="shared" si="1"/>
        <v>1.4285714285714286</v>
      </c>
      <c r="J16" s="87">
        <f t="shared" si="2"/>
        <v>5.3474482135195736</v>
      </c>
      <c r="K16" s="88" t="e">
        <f t="shared" si="3"/>
        <v>#VALUE!</v>
      </c>
      <c r="L16" s="106"/>
      <c r="M16" s="100">
        <f>R16*10^9</f>
        <v>7100000000</v>
      </c>
      <c r="N16" s="107"/>
      <c r="O16" s="108">
        <v>4</v>
      </c>
      <c r="P16" s="105"/>
      <c r="Q16" s="94">
        <v>6.9909999999999997</v>
      </c>
      <c r="R16" s="95">
        <v>7.1</v>
      </c>
      <c r="S16" s="104">
        <v>1000000000</v>
      </c>
      <c r="T16" s="96">
        <f t="shared" si="4"/>
        <v>6991000000</v>
      </c>
    </row>
    <row r="19" spans="1:20" ht="12" thickBot="1" x14ac:dyDescent="0.25"/>
    <row r="20" spans="1:20" ht="13.5" thickBot="1" x14ac:dyDescent="0.25">
      <c r="A20" s="53"/>
      <c r="B20" s="5"/>
      <c r="C20" s="46" t="s">
        <v>0</v>
      </c>
      <c r="D20" s="5"/>
      <c r="E20" s="47"/>
      <c r="F20" s="9" t="s">
        <v>1</v>
      </c>
      <c r="G20" s="10"/>
      <c r="H20" s="47"/>
      <c r="I20" s="11"/>
      <c r="J20" s="12"/>
      <c r="K20" s="12"/>
      <c r="L20" s="1"/>
      <c r="M20" s="51"/>
      <c r="N20" s="1"/>
      <c r="O20" s="50"/>
      <c r="P20" s="1"/>
      <c r="Q20" s="1"/>
      <c r="R20" s="1"/>
      <c r="S20" s="1"/>
      <c r="T20" s="1"/>
    </row>
    <row r="21" spans="1:20" ht="12.75" x14ac:dyDescent="0.2">
      <c r="A21" s="53"/>
      <c r="B21" s="7"/>
      <c r="C21" s="16"/>
      <c r="D21" s="13"/>
      <c r="E21" s="8"/>
      <c r="F21" s="6"/>
      <c r="G21" s="6"/>
      <c r="H21" s="8"/>
      <c r="I21" s="14"/>
      <c r="J21" s="15"/>
      <c r="K21" s="15"/>
      <c r="L21" s="34"/>
      <c r="M21" s="51"/>
      <c r="N21" s="1"/>
      <c r="O21" s="1"/>
      <c r="P21" s="1"/>
      <c r="Q21" s="1"/>
      <c r="R21" s="1"/>
      <c r="S21" s="1"/>
      <c r="T21" s="1"/>
    </row>
    <row r="22" spans="1:20" ht="12.75" x14ac:dyDescent="0.2">
      <c r="A22" s="53"/>
      <c r="B22" s="7"/>
      <c r="C22" s="14"/>
      <c r="D22" s="16"/>
      <c r="E22" s="8"/>
      <c r="F22" s="6" t="s">
        <v>0</v>
      </c>
      <c r="G22" s="6" t="s">
        <v>0</v>
      </c>
      <c r="H22" s="8"/>
      <c r="I22" s="15"/>
      <c r="J22" s="15"/>
      <c r="K22" s="15"/>
      <c r="L22" s="34"/>
      <c r="M22" s="51"/>
      <c r="N22" s="1"/>
      <c r="O22" s="1"/>
      <c r="P22" s="1"/>
      <c r="Q22" s="1"/>
      <c r="R22" s="1"/>
      <c r="S22" s="1"/>
      <c r="T22" s="1"/>
    </row>
    <row r="23" spans="1:20" ht="13.5" thickBot="1" x14ac:dyDescent="0.25">
      <c r="A23" s="54"/>
      <c r="B23" s="17" t="s">
        <v>2</v>
      </c>
      <c r="C23" s="48" t="s">
        <v>3</v>
      </c>
      <c r="D23" s="19" t="s">
        <v>2</v>
      </c>
      <c r="E23" s="20" t="s">
        <v>4</v>
      </c>
      <c r="F23" s="18" t="s">
        <v>3</v>
      </c>
      <c r="G23" s="18" t="s">
        <v>3</v>
      </c>
      <c r="H23" s="20" t="s">
        <v>5</v>
      </c>
      <c r="I23" s="18" t="s">
        <v>6</v>
      </c>
      <c r="J23" s="18" t="s">
        <v>6</v>
      </c>
      <c r="K23" s="21">
        <v>0.15</v>
      </c>
      <c r="L23" s="1"/>
      <c r="M23" s="51"/>
      <c r="N23" s="2" t="s">
        <v>7</v>
      </c>
      <c r="O23" s="1"/>
      <c r="P23" s="1"/>
      <c r="Q23" s="1"/>
      <c r="R23" s="1"/>
      <c r="S23" s="1"/>
      <c r="T23" s="1"/>
    </row>
    <row r="24" spans="1:20" ht="14.25" thickTop="1" thickBot="1" x14ac:dyDescent="0.25">
      <c r="A24" s="49"/>
      <c r="B24" s="22">
        <v>1</v>
      </c>
      <c r="C24" s="23">
        <v>700</v>
      </c>
      <c r="D24" s="24" t="s">
        <v>8</v>
      </c>
      <c r="E24" s="25">
        <v>241.9</v>
      </c>
      <c r="F24" s="113">
        <f>N24</f>
        <v>110</v>
      </c>
      <c r="G24" s="23">
        <v>800</v>
      </c>
      <c r="H24" s="23">
        <v>696</v>
      </c>
      <c r="I24" s="26">
        <v>-0.5714285714285714</v>
      </c>
      <c r="J24" s="26">
        <v>6.1325471296595815</v>
      </c>
      <c r="K24" s="27" t="e">
        <v>#VALUE!</v>
      </c>
      <c r="L24" s="28"/>
      <c r="M24" s="29">
        <v>800</v>
      </c>
      <c r="N24" s="45">
        <v>110</v>
      </c>
      <c r="O24" s="30">
        <v>5</v>
      </c>
      <c r="P24" s="3">
        <v>0</v>
      </c>
      <c r="Q24" s="31">
        <v>0.82040000000000002</v>
      </c>
      <c r="R24" s="32">
        <v>0.7</v>
      </c>
      <c r="S24" s="1">
        <v>1000</v>
      </c>
      <c r="T24" s="33">
        <v>820.4</v>
      </c>
    </row>
    <row r="25" spans="1:20" ht="13.5" thickBot="1" x14ac:dyDescent="0.25">
      <c r="A25" s="52" t="s">
        <v>13</v>
      </c>
      <c r="B25" s="22">
        <v>2</v>
      </c>
      <c r="C25" s="23">
        <v>7000</v>
      </c>
      <c r="D25" s="24" t="s">
        <v>8</v>
      </c>
      <c r="E25" s="25">
        <v>77.400000000000006</v>
      </c>
      <c r="F25" s="114"/>
      <c r="G25" s="23">
        <v>7200</v>
      </c>
      <c r="H25" s="23">
        <v>7096</v>
      </c>
      <c r="I25" s="26">
        <v>1.3714285714285714</v>
      </c>
      <c r="J25" s="26">
        <v>6.2846712843275423</v>
      </c>
      <c r="K25" s="27" t="e">
        <v>#VALUE!</v>
      </c>
      <c r="L25" s="34"/>
      <c r="M25" s="29">
        <v>7200</v>
      </c>
      <c r="N25" s="35">
        <v>104</v>
      </c>
      <c r="O25" s="36">
        <v>5</v>
      </c>
      <c r="P25" s="3">
        <v>0</v>
      </c>
      <c r="Q25" s="31">
        <v>6.9059999999999997</v>
      </c>
      <c r="R25" s="32">
        <v>7</v>
      </c>
      <c r="S25" s="1">
        <v>1000</v>
      </c>
      <c r="T25" s="33">
        <v>6906</v>
      </c>
    </row>
    <row r="26" spans="1:20" ht="13.5" thickBot="1" x14ac:dyDescent="0.25">
      <c r="A26" s="3"/>
      <c r="B26" s="22">
        <v>3</v>
      </c>
      <c r="C26" s="23">
        <v>70000</v>
      </c>
      <c r="D26" s="24" t="s">
        <v>10</v>
      </c>
      <c r="E26" s="25">
        <v>167.3</v>
      </c>
      <c r="F26" s="115"/>
      <c r="G26" s="23">
        <v>70100</v>
      </c>
      <c r="H26" s="23">
        <v>69996</v>
      </c>
      <c r="I26" s="26">
        <v>-5.7142857142857143E-3</v>
      </c>
      <c r="J26" s="26">
        <v>5.100004081630571</v>
      </c>
      <c r="K26" s="27" t="e">
        <v>#VALUE!</v>
      </c>
      <c r="L26" s="34"/>
      <c r="M26" s="37">
        <v>70100</v>
      </c>
      <c r="N26" s="35">
        <v>104</v>
      </c>
      <c r="O26" s="36">
        <v>4</v>
      </c>
      <c r="P26" s="38">
        <v>0</v>
      </c>
      <c r="Q26" s="31">
        <v>70.12</v>
      </c>
      <c r="R26" s="32">
        <v>70</v>
      </c>
      <c r="S26" s="1">
        <v>1000</v>
      </c>
      <c r="T26" s="33">
        <v>70120</v>
      </c>
    </row>
    <row r="27" spans="1:20" ht="13.5" thickBot="1" x14ac:dyDescent="0.25">
      <c r="A27" s="3"/>
      <c r="B27" s="22">
        <v>4</v>
      </c>
      <c r="C27" s="23">
        <v>700000</v>
      </c>
      <c r="D27" s="39" t="s">
        <v>10</v>
      </c>
      <c r="E27" s="25">
        <v>53.7</v>
      </c>
      <c r="F27" s="27"/>
      <c r="G27" s="23">
        <v>690000</v>
      </c>
      <c r="H27" s="27"/>
      <c r="I27" s="26">
        <v>-1.4285714285714286</v>
      </c>
      <c r="J27" s="26">
        <v>5.3474482135195736</v>
      </c>
      <c r="K27" s="27" t="e">
        <v>#VALUE!</v>
      </c>
      <c r="L27" s="34"/>
      <c r="M27" s="37">
        <v>690000</v>
      </c>
      <c r="N27" s="40"/>
      <c r="O27" s="36">
        <v>4</v>
      </c>
      <c r="P27" s="3">
        <v>5</v>
      </c>
      <c r="Q27" s="31">
        <v>0.70920000000000005</v>
      </c>
      <c r="R27" s="32">
        <v>0.7</v>
      </c>
      <c r="S27" s="1">
        <v>1000000</v>
      </c>
      <c r="T27" s="33">
        <v>709200</v>
      </c>
    </row>
    <row r="28" spans="1:20" ht="13.5" thickBot="1" x14ac:dyDescent="0.25">
      <c r="A28" s="3"/>
      <c r="B28" s="22">
        <v>5</v>
      </c>
      <c r="C28" s="23">
        <v>7000000</v>
      </c>
      <c r="D28" s="39" t="s">
        <v>11</v>
      </c>
      <c r="E28" s="25">
        <v>364.1</v>
      </c>
      <c r="F28" s="27"/>
      <c r="G28" s="23">
        <v>6900000</v>
      </c>
      <c r="H28" s="27"/>
      <c r="I28" s="26">
        <v>-1.4285714285714286</v>
      </c>
      <c r="J28" s="26">
        <v>5.3474482135195736</v>
      </c>
      <c r="K28" s="27" t="e">
        <v>#VALUE!</v>
      </c>
      <c r="L28" s="34"/>
      <c r="M28" s="37">
        <v>6900000</v>
      </c>
      <c r="N28" s="40"/>
      <c r="O28" s="36">
        <v>4</v>
      </c>
      <c r="P28" s="3"/>
      <c r="Q28" s="31">
        <v>7.5069999999999997</v>
      </c>
      <c r="R28" s="32">
        <v>7</v>
      </c>
      <c r="S28" s="1">
        <v>1000000</v>
      </c>
      <c r="T28" s="33">
        <v>7507000</v>
      </c>
    </row>
    <row r="29" spans="1:20" ht="13.5" thickBot="1" x14ac:dyDescent="0.25">
      <c r="A29" s="3"/>
      <c r="B29" s="22">
        <v>6</v>
      </c>
      <c r="C29" s="23">
        <v>70000000</v>
      </c>
      <c r="D29" s="39" t="s">
        <v>11</v>
      </c>
      <c r="E29" s="25">
        <v>116.7</v>
      </c>
      <c r="F29" s="27"/>
      <c r="G29" s="23">
        <v>68000000</v>
      </c>
      <c r="H29" s="27"/>
      <c r="I29" s="26">
        <v>-2.8571428571428572</v>
      </c>
      <c r="J29" s="26">
        <v>6.015614438310072</v>
      </c>
      <c r="K29" s="27" t="e">
        <v>#VALUE!</v>
      </c>
      <c r="L29" s="34"/>
      <c r="M29" s="37">
        <v>68000000</v>
      </c>
      <c r="N29" s="40"/>
      <c r="O29" s="36">
        <v>4</v>
      </c>
      <c r="P29" s="3"/>
      <c r="Q29" s="31">
        <v>71.7</v>
      </c>
      <c r="R29" s="32">
        <v>70</v>
      </c>
      <c r="S29" s="1">
        <v>1000000</v>
      </c>
      <c r="T29" s="33">
        <v>71700000</v>
      </c>
    </row>
    <row r="30" spans="1:20" ht="13.5" thickBot="1" x14ac:dyDescent="0.25">
      <c r="A30" s="3"/>
      <c r="B30" s="22">
        <v>7</v>
      </c>
      <c r="C30" s="23">
        <v>700000000</v>
      </c>
      <c r="D30" s="39" t="s">
        <v>12</v>
      </c>
      <c r="E30" s="25">
        <v>240.9</v>
      </c>
      <c r="F30" s="27"/>
      <c r="G30" s="23">
        <v>700000000</v>
      </c>
      <c r="H30" s="27"/>
      <c r="I30" s="26">
        <v>0</v>
      </c>
      <c r="J30" s="26">
        <v>5.0999999999999996</v>
      </c>
      <c r="K30" s="27" t="e">
        <v>#VALUE!</v>
      </c>
      <c r="L30" s="34"/>
      <c r="M30" s="37">
        <v>700000000</v>
      </c>
      <c r="N30" s="40"/>
      <c r="O30" s="36">
        <v>4</v>
      </c>
      <c r="P30" s="3"/>
      <c r="Q30" s="31">
        <v>0.70069999999999999</v>
      </c>
      <c r="R30" s="32">
        <v>0.7</v>
      </c>
      <c r="S30" s="4">
        <v>1000000000</v>
      </c>
      <c r="T30" s="33">
        <v>700700000</v>
      </c>
    </row>
    <row r="31" spans="1:20" ht="13.5" thickBot="1" x14ac:dyDescent="0.25">
      <c r="A31" s="41"/>
      <c r="B31" s="22">
        <v>8</v>
      </c>
      <c r="C31" s="23">
        <v>7000000000</v>
      </c>
      <c r="D31" s="39" t="s">
        <v>12</v>
      </c>
      <c r="E31" s="25">
        <v>77.5</v>
      </c>
      <c r="F31" s="27"/>
      <c r="G31" s="23">
        <v>7100000000</v>
      </c>
      <c r="H31" s="27"/>
      <c r="I31" s="26">
        <v>1.4285714285714286</v>
      </c>
      <c r="J31" s="26">
        <v>5.3474482135195736</v>
      </c>
      <c r="K31" s="27" t="e">
        <v>#VALUE!</v>
      </c>
      <c r="L31" s="42"/>
      <c r="M31" s="37">
        <v>7100000000</v>
      </c>
      <c r="N31" s="43"/>
      <c r="O31" s="44">
        <v>4</v>
      </c>
      <c r="P31" s="41"/>
      <c r="Q31" s="31">
        <v>6.9909999999999997</v>
      </c>
      <c r="R31" s="32">
        <v>7</v>
      </c>
      <c r="S31" s="4">
        <v>1000000000</v>
      </c>
      <c r="T31" s="33">
        <v>6991000000</v>
      </c>
    </row>
    <row r="34" spans="1:20" ht="12" thickBot="1" x14ac:dyDescent="0.25"/>
    <row r="35" spans="1:20" ht="13.5" thickBot="1" x14ac:dyDescent="0.25">
      <c r="A35" s="53"/>
      <c r="B35" s="5"/>
      <c r="C35" s="46" t="s">
        <v>0</v>
      </c>
      <c r="D35" s="5"/>
      <c r="E35" s="47"/>
      <c r="F35" s="9" t="s">
        <v>1</v>
      </c>
      <c r="G35" s="10"/>
      <c r="H35" s="47"/>
      <c r="I35" s="11"/>
      <c r="J35" s="12"/>
      <c r="K35" s="12"/>
      <c r="L35" s="1"/>
      <c r="M35" s="51"/>
      <c r="N35" s="1"/>
      <c r="O35" s="50"/>
      <c r="P35" s="1"/>
      <c r="Q35" s="1"/>
      <c r="R35" s="1"/>
      <c r="S35" s="1"/>
      <c r="T35" s="1"/>
    </row>
    <row r="36" spans="1:20" ht="12.75" x14ac:dyDescent="0.2">
      <c r="A36" s="53"/>
      <c r="B36" s="7"/>
      <c r="C36" s="16"/>
      <c r="D36" s="13"/>
      <c r="E36" s="8"/>
      <c r="F36" s="6"/>
      <c r="G36" s="6"/>
      <c r="H36" s="8"/>
      <c r="I36" s="14"/>
      <c r="J36" s="15"/>
      <c r="K36" s="15"/>
      <c r="L36" s="34"/>
      <c r="M36" s="51"/>
      <c r="N36" s="1"/>
      <c r="O36" s="1"/>
      <c r="P36" s="1"/>
      <c r="Q36" s="1"/>
      <c r="R36" s="1"/>
      <c r="S36" s="1"/>
      <c r="T36" s="1"/>
    </row>
    <row r="37" spans="1:20" ht="12.75" x14ac:dyDescent="0.2">
      <c r="A37" s="53"/>
      <c r="B37" s="7"/>
      <c r="C37" s="14"/>
      <c r="D37" s="16"/>
      <c r="E37" s="8"/>
      <c r="F37" s="6" t="s">
        <v>0</v>
      </c>
      <c r="G37" s="6" t="s">
        <v>0</v>
      </c>
      <c r="H37" s="8"/>
      <c r="I37" s="15"/>
      <c r="J37" s="15"/>
      <c r="K37" s="15"/>
      <c r="L37" s="34"/>
      <c r="M37" s="51"/>
      <c r="N37" s="1"/>
      <c r="O37" s="1"/>
      <c r="P37" s="1"/>
      <c r="Q37" s="1"/>
      <c r="R37" s="1"/>
      <c r="S37" s="1"/>
      <c r="T37" s="1"/>
    </row>
    <row r="38" spans="1:20" ht="13.5" thickBot="1" x14ac:dyDescent="0.25">
      <c r="A38" s="54"/>
      <c r="B38" s="17" t="s">
        <v>2</v>
      </c>
      <c r="C38" s="48" t="s">
        <v>3</v>
      </c>
      <c r="D38" s="19" t="s">
        <v>2</v>
      </c>
      <c r="E38" s="20" t="s">
        <v>4</v>
      </c>
      <c r="F38" s="18" t="s">
        <v>3</v>
      </c>
      <c r="G38" s="18" t="s">
        <v>3</v>
      </c>
      <c r="H38" s="20" t="s">
        <v>5</v>
      </c>
      <c r="I38" s="18" t="s">
        <v>6</v>
      </c>
      <c r="J38" s="18" t="s">
        <v>6</v>
      </c>
      <c r="K38" s="21">
        <v>0.15</v>
      </c>
      <c r="L38" s="1"/>
      <c r="M38" s="51"/>
      <c r="N38" s="2" t="s">
        <v>7</v>
      </c>
      <c r="O38" s="1"/>
      <c r="P38" s="1"/>
      <c r="Q38" s="1"/>
      <c r="R38" s="1"/>
      <c r="S38" s="1"/>
      <c r="T38" s="1"/>
    </row>
    <row r="39" spans="1:20" ht="14.25" thickTop="1" thickBot="1" x14ac:dyDescent="0.25">
      <c r="A39" s="49"/>
      <c r="B39" s="22">
        <v>1</v>
      </c>
      <c r="C39" s="23">
        <v>700</v>
      </c>
      <c r="D39" s="24" t="s">
        <v>8</v>
      </c>
      <c r="E39" s="25">
        <v>241.9</v>
      </c>
      <c r="F39" s="113">
        <f>N39</f>
        <v>110</v>
      </c>
      <c r="G39" s="23">
        <v>800</v>
      </c>
      <c r="H39" s="23">
        <v>696</v>
      </c>
      <c r="I39" s="26">
        <v>-0.5714285714285714</v>
      </c>
      <c r="J39" s="26">
        <v>6.1325471296595815</v>
      </c>
      <c r="K39" s="27" t="e">
        <v>#VALUE!</v>
      </c>
      <c r="L39" s="28"/>
      <c r="M39" s="29">
        <v>800</v>
      </c>
      <c r="N39" s="45">
        <v>110</v>
      </c>
      <c r="O39" s="30">
        <v>5</v>
      </c>
      <c r="P39" s="3">
        <v>0</v>
      </c>
      <c r="Q39" s="31">
        <v>0.82040000000000002</v>
      </c>
      <c r="R39" s="32">
        <v>0.7</v>
      </c>
      <c r="S39" s="1">
        <v>1000</v>
      </c>
      <c r="T39" s="33">
        <v>820.4</v>
      </c>
    </row>
    <row r="40" spans="1:20" ht="13.5" thickBot="1" x14ac:dyDescent="0.25">
      <c r="A40" s="52" t="s">
        <v>13</v>
      </c>
      <c r="B40" s="22">
        <v>2</v>
      </c>
      <c r="C40" s="23">
        <v>7000</v>
      </c>
      <c r="D40" s="24" t="s">
        <v>8</v>
      </c>
      <c r="E40" s="25">
        <v>77.400000000000006</v>
      </c>
      <c r="F40" s="114"/>
      <c r="G40" s="23">
        <v>7200</v>
      </c>
      <c r="H40" s="23">
        <v>7096</v>
      </c>
      <c r="I40" s="26">
        <v>1.3714285714285714</v>
      </c>
      <c r="J40" s="26">
        <v>6.2846712843275423</v>
      </c>
      <c r="K40" s="27" t="e">
        <v>#VALUE!</v>
      </c>
      <c r="L40" s="34"/>
      <c r="M40" s="29">
        <v>7200</v>
      </c>
      <c r="N40" s="35">
        <v>104</v>
      </c>
      <c r="O40" s="36">
        <v>5</v>
      </c>
      <c r="P40" s="3">
        <v>0</v>
      </c>
      <c r="Q40" s="31">
        <v>6.9059999999999997</v>
      </c>
      <c r="R40" s="32">
        <v>7</v>
      </c>
      <c r="S40" s="1">
        <v>1000</v>
      </c>
      <c r="T40" s="33">
        <v>6906</v>
      </c>
    </row>
    <row r="41" spans="1:20" ht="13.5" thickBot="1" x14ac:dyDescent="0.25">
      <c r="A41" s="3"/>
      <c r="B41" s="22">
        <v>3</v>
      </c>
      <c r="C41" s="23">
        <v>70000</v>
      </c>
      <c r="D41" s="24" t="s">
        <v>10</v>
      </c>
      <c r="E41" s="25">
        <v>167.3</v>
      </c>
      <c r="F41" s="115"/>
      <c r="G41" s="23">
        <v>70100</v>
      </c>
      <c r="H41" s="23">
        <v>69996</v>
      </c>
      <c r="I41" s="26">
        <v>-5.7142857142857143E-3</v>
      </c>
      <c r="J41" s="26">
        <v>5.100004081630571</v>
      </c>
      <c r="K41" s="27" t="e">
        <v>#VALUE!</v>
      </c>
      <c r="L41" s="34"/>
      <c r="M41" s="37">
        <v>70100</v>
      </c>
      <c r="N41" s="35">
        <v>104</v>
      </c>
      <c r="O41" s="36">
        <v>4</v>
      </c>
      <c r="P41" s="38">
        <v>0</v>
      </c>
      <c r="Q41" s="31">
        <v>70.12</v>
      </c>
      <c r="R41" s="32">
        <v>70</v>
      </c>
      <c r="S41" s="1">
        <v>1000</v>
      </c>
      <c r="T41" s="33">
        <v>70120</v>
      </c>
    </row>
    <row r="42" spans="1:20" ht="13.5" thickBot="1" x14ac:dyDescent="0.25">
      <c r="A42" s="3"/>
      <c r="B42" s="22">
        <v>4</v>
      </c>
      <c r="C42" s="23">
        <v>700000</v>
      </c>
      <c r="D42" s="39" t="s">
        <v>10</v>
      </c>
      <c r="E42" s="25">
        <v>53.7</v>
      </c>
      <c r="F42" s="27"/>
      <c r="G42" s="23">
        <v>690000</v>
      </c>
      <c r="H42" s="27"/>
      <c r="I42" s="26">
        <v>-1.4285714285714286</v>
      </c>
      <c r="J42" s="26">
        <v>5.3474482135195736</v>
      </c>
      <c r="K42" s="27" t="e">
        <v>#VALUE!</v>
      </c>
      <c r="L42" s="34"/>
      <c r="M42" s="37">
        <v>690000</v>
      </c>
      <c r="N42" s="40"/>
      <c r="O42" s="36">
        <v>4</v>
      </c>
      <c r="P42" s="3">
        <v>5</v>
      </c>
      <c r="Q42" s="31">
        <v>0.70920000000000005</v>
      </c>
      <c r="R42" s="32">
        <v>0.7</v>
      </c>
      <c r="S42" s="1">
        <v>1000000</v>
      </c>
      <c r="T42" s="33">
        <v>709200</v>
      </c>
    </row>
    <row r="43" spans="1:20" ht="13.5" thickBot="1" x14ac:dyDescent="0.25">
      <c r="A43" s="3"/>
      <c r="B43" s="22">
        <v>5</v>
      </c>
      <c r="C43" s="23">
        <v>7000000</v>
      </c>
      <c r="D43" s="39" t="s">
        <v>11</v>
      </c>
      <c r="E43" s="25">
        <v>364.1</v>
      </c>
      <c r="F43" s="27"/>
      <c r="G43" s="23">
        <v>6900000</v>
      </c>
      <c r="H43" s="27"/>
      <c r="I43" s="26">
        <v>-1.4285714285714286</v>
      </c>
      <c r="J43" s="26">
        <v>5.3474482135195736</v>
      </c>
      <c r="K43" s="27" t="e">
        <v>#VALUE!</v>
      </c>
      <c r="L43" s="34"/>
      <c r="M43" s="37">
        <v>6900000</v>
      </c>
      <c r="N43" s="40"/>
      <c r="O43" s="36">
        <v>4</v>
      </c>
      <c r="P43" s="3"/>
      <c r="Q43" s="31">
        <v>7.5069999999999997</v>
      </c>
      <c r="R43" s="32">
        <v>7</v>
      </c>
      <c r="S43" s="1">
        <v>1000000</v>
      </c>
      <c r="T43" s="33">
        <v>7507000</v>
      </c>
    </row>
    <row r="44" spans="1:20" ht="13.5" thickBot="1" x14ac:dyDescent="0.25">
      <c r="A44" s="3"/>
      <c r="B44" s="22">
        <v>6</v>
      </c>
      <c r="C44" s="23">
        <v>70000000</v>
      </c>
      <c r="D44" s="39" t="s">
        <v>11</v>
      </c>
      <c r="E44" s="25">
        <v>116.7</v>
      </c>
      <c r="F44" s="27"/>
      <c r="G44" s="23">
        <v>68000000</v>
      </c>
      <c r="H44" s="27"/>
      <c r="I44" s="26">
        <v>-2.8571428571428572</v>
      </c>
      <c r="J44" s="26">
        <v>6.015614438310072</v>
      </c>
      <c r="K44" s="27" t="e">
        <v>#VALUE!</v>
      </c>
      <c r="L44" s="34"/>
      <c r="M44" s="37">
        <v>68000000</v>
      </c>
      <c r="N44" s="40"/>
      <c r="O44" s="36">
        <v>4</v>
      </c>
      <c r="P44" s="3"/>
      <c r="Q44" s="31">
        <v>71.7</v>
      </c>
      <c r="R44" s="32">
        <v>70</v>
      </c>
      <c r="S44" s="1">
        <v>1000000</v>
      </c>
      <c r="T44" s="33">
        <v>71700000</v>
      </c>
    </row>
    <row r="45" spans="1:20" ht="13.5" thickBot="1" x14ac:dyDescent="0.25">
      <c r="A45" s="3"/>
      <c r="B45" s="22">
        <v>7</v>
      </c>
      <c r="C45" s="23">
        <v>700000000</v>
      </c>
      <c r="D45" s="39" t="s">
        <v>12</v>
      </c>
      <c r="E45" s="25">
        <v>240.9</v>
      </c>
      <c r="F45" s="27"/>
      <c r="G45" s="23">
        <v>700000000</v>
      </c>
      <c r="H45" s="27"/>
      <c r="I45" s="26">
        <v>0</v>
      </c>
      <c r="J45" s="26">
        <v>5.0999999999999996</v>
      </c>
      <c r="K45" s="27" t="e">
        <v>#VALUE!</v>
      </c>
      <c r="L45" s="34"/>
      <c r="M45" s="37">
        <v>700000000</v>
      </c>
      <c r="N45" s="40"/>
      <c r="O45" s="36">
        <v>4</v>
      </c>
      <c r="P45" s="3"/>
      <c r="Q45" s="31">
        <v>0.70069999999999999</v>
      </c>
      <c r="R45" s="32">
        <v>0.7</v>
      </c>
      <c r="S45" s="4">
        <v>1000000000</v>
      </c>
      <c r="T45" s="33">
        <v>700700000</v>
      </c>
    </row>
    <row r="46" spans="1:20" ht="13.5" thickBot="1" x14ac:dyDescent="0.25">
      <c r="A46" s="41"/>
      <c r="B46" s="22">
        <v>8</v>
      </c>
      <c r="C46" s="23">
        <v>7000000000</v>
      </c>
      <c r="D46" s="39" t="s">
        <v>12</v>
      </c>
      <c r="E46" s="25">
        <v>77.5</v>
      </c>
      <c r="F46" s="27"/>
      <c r="G46" s="23">
        <v>7100000000</v>
      </c>
      <c r="H46" s="27"/>
      <c r="I46" s="26">
        <v>1.4285714285714286</v>
      </c>
      <c r="J46" s="26">
        <v>5.3474482135195736</v>
      </c>
      <c r="K46" s="27" t="e">
        <v>#VALUE!</v>
      </c>
      <c r="L46" s="42"/>
      <c r="M46" s="37">
        <v>7100000000</v>
      </c>
      <c r="N46" s="43"/>
      <c r="O46" s="44">
        <v>4</v>
      </c>
      <c r="P46" s="41"/>
      <c r="Q46" s="31">
        <v>6.9909999999999997</v>
      </c>
      <c r="R46" s="32">
        <v>7</v>
      </c>
      <c r="S46" s="4">
        <v>1000000000</v>
      </c>
      <c r="T46" s="33">
        <v>6991000000</v>
      </c>
    </row>
    <row r="49" spans="1:20" ht="12" thickBot="1" x14ac:dyDescent="0.25"/>
    <row r="50" spans="1:20" ht="13.5" thickBot="1" x14ac:dyDescent="0.25">
      <c r="A50" s="53"/>
      <c r="B50" s="5"/>
      <c r="C50" s="46" t="s">
        <v>0</v>
      </c>
      <c r="D50" s="5"/>
      <c r="E50" s="47"/>
      <c r="F50" s="9" t="s">
        <v>1</v>
      </c>
      <c r="G50" s="10"/>
      <c r="H50" s="47"/>
      <c r="I50" s="11"/>
      <c r="J50" s="12"/>
      <c r="K50" s="12"/>
      <c r="L50" s="1"/>
      <c r="M50" s="51"/>
      <c r="N50" s="1"/>
      <c r="O50" s="50"/>
      <c r="P50" s="1"/>
      <c r="Q50" s="1"/>
      <c r="R50" s="1"/>
      <c r="S50" s="1"/>
      <c r="T50" s="1"/>
    </row>
    <row r="51" spans="1:20" ht="12.75" x14ac:dyDescent="0.2">
      <c r="A51" s="53"/>
      <c r="B51" s="7"/>
      <c r="C51" s="16"/>
      <c r="D51" s="13"/>
      <c r="E51" s="8"/>
      <c r="F51" s="6"/>
      <c r="G51" s="6"/>
      <c r="H51" s="8"/>
      <c r="I51" s="14"/>
      <c r="J51" s="15"/>
      <c r="K51" s="15"/>
      <c r="L51" s="34"/>
      <c r="M51" s="51"/>
      <c r="N51" s="1"/>
      <c r="O51" s="1"/>
      <c r="P51" s="1"/>
      <c r="Q51" s="1"/>
      <c r="R51" s="1"/>
      <c r="S51" s="1"/>
      <c r="T51" s="1"/>
    </row>
    <row r="52" spans="1:20" ht="12.75" x14ac:dyDescent="0.2">
      <c r="A52" s="53"/>
      <c r="B52" s="7"/>
      <c r="C52" s="14"/>
      <c r="D52" s="16"/>
      <c r="E52" s="8"/>
      <c r="F52" s="6" t="s">
        <v>0</v>
      </c>
      <c r="G52" s="6" t="s">
        <v>0</v>
      </c>
      <c r="H52" s="8"/>
      <c r="I52" s="15"/>
      <c r="J52" s="15"/>
      <c r="K52" s="15"/>
      <c r="L52" s="34"/>
      <c r="M52" s="51"/>
      <c r="N52" s="1"/>
      <c r="O52" s="1"/>
      <c r="P52" s="1"/>
      <c r="Q52" s="1"/>
      <c r="R52" s="1"/>
      <c r="S52" s="1"/>
      <c r="T52" s="1"/>
    </row>
    <row r="53" spans="1:20" ht="13.5" thickBot="1" x14ac:dyDescent="0.25">
      <c r="A53" s="54"/>
      <c r="B53" s="17" t="s">
        <v>2</v>
      </c>
      <c r="C53" s="48" t="s">
        <v>3</v>
      </c>
      <c r="D53" s="19" t="s">
        <v>2</v>
      </c>
      <c r="E53" s="20" t="s">
        <v>4</v>
      </c>
      <c r="F53" s="18" t="s">
        <v>3</v>
      </c>
      <c r="G53" s="18" t="s">
        <v>3</v>
      </c>
      <c r="H53" s="20" t="s">
        <v>5</v>
      </c>
      <c r="I53" s="18" t="s">
        <v>6</v>
      </c>
      <c r="J53" s="18" t="s">
        <v>6</v>
      </c>
      <c r="K53" s="21">
        <v>0.15</v>
      </c>
      <c r="L53" s="1"/>
      <c r="M53" s="51"/>
      <c r="N53" s="2" t="s">
        <v>7</v>
      </c>
      <c r="O53" s="1"/>
      <c r="P53" s="1"/>
      <c r="Q53" s="1"/>
      <c r="R53" s="1"/>
      <c r="S53" s="1"/>
      <c r="T53" s="1"/>
    </row>
    <row r="54" spans="1:20" ht="14.25" thickTop="1" thickBot="1" x14ac:dyDescent="0.25">
      <c r="A54" s="49"/>
      <c r="B54" s="22">
        <v>1</v>
      </c>
      <c r="C54" s="23">
        <v>700</v>
      </c>
      <c r="D54" s="24" t="s">
        <v>8</v>
      </c>
      <c r="E54" s="25">
        <v>241.9</v>
      </c>
      <c r="F54" s="113">
        <f>N54</f>
        <v>110</v>
      </c>
      <c r="G54" s="23">
        <v>800</v>
      </c>
      <c r="H54" s="23">
        <v>696</v>
      </c>
      <c r="I54" s="26">
        <v>-0.5714285714285714</v>
      </c>
      <c r="J54" s="26">
        <v>6.1325471296595815</v>
      </c>
      <c r="K54" s="27" t="e">
        <v>#VALUE!</v>
      </c>
      <c r="L54" s="28"/>
      <c r="M54" s="29">
        <v>800</v>
      </c>
      <c r="N54" s="45">
        <v>110</v>
      </c>
      <c r="O54" s="30">
        <v>5</v>
      </c>
      <c r="P54" s="3">
        <v>0</v>
      </c>
      <c r="Q54" s="31">
        <v>0.82040000000000002</v>
      </c>
      <c r="R54" s="32">
        <v>0.7</v>
      </c>
      <c r="S54" s="1">
        <v>1000</v>
      </c>
      <c r="T54" s="33">
        <v>820.4</v>
      </c>
    </row>
    <row r="55" spans="1:20" ht="13.5" thickBot="1" x14ac:dyDescent="0.25">
      <c r="A55" s="52" t="s">
        <v>13</v>
      </c>
      <c r="B55" s="22">
        <v>2</v>
      </c>
      <c r="C55" s="23">
        <v>7000</v>
      </c>
      <c r="D55" s="24" t="s">
        <v>8</v>
      </c>
      <c r="E55" s="25">
        <v>77.400000000000006</v>
      </c>
      <c r="F55" s="114"/>
      <c r="G55" s="23">
        <v>7200</v>
      </c>
      <c r="H55" s="23">
        <v>7096</v>
      </c>
      <c r="I55" s="26">
        <v>1.3714285714285714</v>
      </c>
      <c r="J55" s="26">
        <v>6.2846712843275423</v>
      </c>
      <c r="K55" s="27" t="e">
        <v>#VALUE!</v>
      </c>
      <c r="L55" s="34"/>
      <c r="M55" s="29">
        <v>7200</v>
      </c>
      <c r="N55" s="35">
        <v>104</v>
      </c>
      <c r="O55" s="36">
        <v>5</v>
      </c>
      <c r="P55" s="3">
        <v>0</v>
      </c>
      <c r="Q55" s="31">
        <v>6.9059999999999997</v>
      </c>
      <c r="R55" s="32">
        <v>7</v>
      </c>
      <c r="S55" s="1">
        <v>1000</v>
      </c>
      <c r="T55" s="33">
        <v>6906</v>
      </c>
    </row>
    <row r="56" spans="1:20" ht="13.5" thickBot="1" x14ac:dyDescent="0.25">
      <c r="A56" s="3"/>
      <c r="B56" s="22">
        <v>3</v>
      </c>
      <c r="C56" s="23">
        <v>70000</v>
      </c>
      <c r="D56" s="24" t="s">
        <v>10</v>
      </c>
      <c r="E56" s="25">
        <v>167.3</v>
      </c>
      <c r="F56" s="115"/>
      <c r="G56" s="23">
        <v>70100</v>
      </c>
      <c r="H56" s="23">
        <v>69996</v>
      </c>
      <c r="I56" s="26">
        <v>-5.7142857142857143E-3</v>
      </c>
      <c r="J56" s="26">
        <v>5.100004081630571</v>
      </c>
      <c r="K56" s="27" t="e">
        <v>#VALUE!</v>
      </c>
      <c r="L56" s="34"/>
      <c r="M56" s="37">
        <v>70100</v>
      </c>
      <c r="N56" s="35">
        <v>104</v>
      </c>
      <c r="O56" s="36">
        <v>4</v>
      </c>
      <c r="P56" s="38">
        <v>0</v>
      </c>
      <c r="Q56" s="31">
        <v>70.12</v>
      </c>
      <c r="R56" s="32">
        <v>70</v>
      </c>
      <c r="S56" s="1">
        <v>1000</v>
      </c>
      <c r="T56" s="33">
        <v>70120</v>
      </c>
    </row>
    <row r="57" spans="1:20" ht="13.5" thickBot="1" x14ac:dyDescent="0.25">
      <c r="A57" s="3"/>
      <c r="B57" s="22">
        <v>4</v>
      </c>
      <c r="C57" s="23">
        <v>700000</v>
      </c>
      <c r="D57" s="39" t="s">
        <v>10</v>
      </c>
      <c r="E57" s="25">
        <v>53.7</v>
      </c>
      <c r="F57" s="27"/>
      <c r="G57" s="23">
        <v>690000</v>
      </c>
      <c r="H57" s="27"/>
      <c r="I57" s="26">
        <v>-1.4285714285714286</v>
      </c>
      <c r="J57" s="26">
        <v>5.3474482135195736</v>
      </c>
      <c r="K57" s="27" t="e">
        <v>#VALUE!</v>
      </c>
      <c r="L57" s="34"/>
      <c r="M57" s="37">
        <v>690000</v>
      </c>
      <c r="N57" s="40"/>
      <c r="O57" s="36">
        <v>4</v>
      </c>
      <c r="P57" s="3">
        <v>5</v>
      </c>
      <c r="Q57" s="31">
        <v>0.70920000000000005</v>
      </c>
      <c r="R57" s="32">
        <v>0.7</v>
      </c>
      <c r="S57" s="1">
        <v>1000000</v>
      </c>
      <c r="T57" s="33">
        <v>709200</v>
      </c>
    </row>
    <row r="58" spans="1:20" ht="13.5" thickBot="1" x14ac:dyDescent="0.25">
      <c r="A58" s="3"/>
      <c r="B58" s="22">
        <v>5</v>
      </c>
      <c r="C58" s="23">
        <v>7000000</v>
      </c>
      <c r="D58" s="39" t="s">
        <v>11</v>
      </c>
      <c r="E58" s="25">
        <v>364.1</v>
      </c>
      <c r="F58" s="27"/>
      <c r="G58" s="23">
        <v>6900000</v>
      </c>
      <c r="H58" s="27"/>
      <c r="I58" s="26">
        <v>-1.4285714285714286</v>
      </c>
      <c r="J58" s="26">
        <v>5.3474482135195736</v>
      </c>
      <c r="K58" s="27" t="e">
        <v>#VALUE!</v>
      </c>
      <c r="L58" s="34"/>
      <c r="M58" s="37">
        <v>6900000</v>
      </c>
      <c r="N58" s="40"/>
      <c r="O58" s="36">
        <v>4</v>
      </c>
      <c r="P58" s="3"/>
      <c r="Q58" s="31">
        <v>7.5069999999999997</v>
      </c>
      <c r="R58" s="32">
        <v>7</v>
      </c>
      <c r="S58" s="1">
        <v>1000000</v>
      </c>
      <c r="T58" s="33">
        <v>7507000</v>
      </c>
    </row>
    <row r="59" spans="1:20" ht="13.5" thickBot="1" x14ac:dyDescent="0.25">
      <c r="A59" s="3"/>
      <c r="B59" s="22">
        <v>6</v>
      </c>
      <c r="C59" s="23">
        <v>70000000</v>
      </c>
      <c r="D59" s="39" t="s">
        <v>11</v>
      </c>
      <c r="E59" s="25">
        <v>116.7</v>
      </c>
      <c r="F59" s="27"/>
      <c r="G59" s="23">
        <v>68000000</v>
      </c>
      <c r="H59" s="27"/>
      <c r="I59" s="26">
        <v>-2.8571428571428572</v>
      </c>
      <c r="J59" s="26">
        <v>6.015614438310072</v>
      </c>
      <c r="K59" s="27" t="e">
        <v>#VALUE!</v>
      </c>
      <c r="L59" s="34"/>
      <c r="M59" s="37">
        <v>68000000</v>
      </c>
      <c r="N59" s="40"/>
      <c r="O59" s="36">
        <v>4</v>
      </c>
      <c r="P59" s="3"/>
      <c r="Q59" s="31">
        <v>71.7</v>
      </c>
      <c r="R59" s="32">
        <v>70</v>
      </c>
      <c r="S59" s="1">
        <v>1000000</v>
      </c>
      <c r="T59" s="33">
        <v>71700000</v>
      </c>
    </row>
    <row r="60" spans="1:20" ht="13.5" thickBot="1" x14ac:dyDescent="0.25">
      <c r="A60" s="3"/>
      <c r="B60" s="22">
        <v>7</v>
      </c>
      <c r="C60" s="23">
        <v>700000000</v>
      </c>
      <c r="D60" s="39" t="s">
        <v>12</v>
      </c>
      <c r="E60" s="25">
        <v>240.9</v>
      </c>
      <c r="F60" s="27"/>
      <c r="G60" s="23">
        <v>700000000</v>
      </c>
      <c r="H60" s="27"/>
      <c r="I60" s="26">
        <v>0</v>
      </c>
      <c r="J60" s="26">
        <v>5.0999999999999996</v>
      </c>
      <c r="K60" s="27" t="e">
        <v>#VALUE!</v>
      </c>
      <c r="L60" s="34"/>
      <c r="M60" s="37">
        <v>700000000</v>
      </c>
      <c r="N60" s="40"/>
      <c r="O60" s="36">
        <v>4</v>
      </c>
      <c r="P60" s="3"/>
      <c r="Q60" s="31">
        <v>0.70069999999999999</v>
      </c>
      <c r="R60" s="32">
        <v>0.7</v>
      </c>
      <c r="S60" s="4">
        <v>1000000000</v>
      </c>
      <c r="T60" s="33">
        <v>700700000</v>
      </c>
    </row>
    <row r="61" spans="1:20" ht="13.5" thickBot="1" x14ac:dyDescent="0.25">
      <c r="A61" s="41"/>
      <c r="B61" s="22">
        <v>8</v>
      </c>
      <c r="C61" s="23">
        <v>7000000000</v>
      </c>
      <c r="D61" s="39" t="s">
        <v>12</v>
      </c>
      <c r="E61" s="25">
        <v>77.5</v>
      </c>
      <c r="F61" s="27"/>
      <c r="G61" s="23">
        <v>7100000000</v>
      </c>
      <c r="H61" s="27"/>
      <c r="I61" s="26">
        <v>1.4285714285714286</v>
      </c>
      <c r="J61" s="26">
        <v>5.3474482135195736</v>
      </c>
      <c r="K61" s="27" t="e">
        <v>#VALUE!</v>
      </c>
      <c r="L61" s="42"/>
      <c r="M61" s="37">
        <v>7100000000</v>
      </c>
      <c r="N61" s="43"/>
      <c r="O61" s="44">
        <v>4</v>
      </c>
      <c r="P61" s="41"/>
      <c r="Q61" s="31">
        <v>6.9909999999999997</v>
      </c>
      <c r="R61" s="32">
        <v>7</v>
      </c>
      <c r="S61" s="4">
        <v>1000000000</v>
      </c>
      <c r="T61" s="33">
        <v>6991000000</v>
      </c>
    </row>
    <row r="64" spans="1:20" ht="12" thickBot="1" x14ac:dyDescent="0.25"/>
    <row r="65" spans="1:20" ht="13.5" thickBot="1" x14ac:dyDescent="0.25">
      <c r="A65" s="53"/>
      <c r="B65" s="5"/>
      <c r="C65" s="46" t="s">
        <v>0</v>
      </c>
      <c r="D65" s="5"/>
      <c r="E65" s="47"/>
      <c r="F65" s="9" t="s">
        <v>1</v>
      </c>
      <c r="G65" s="10"/>
      <c r="H65" s="47"/>
      <c r="I65" s="11"/>
      <c r="J65" s="12"/>
      <c r="K65" s="12"/>
      <c r="L65" s="1"/>
      <c r="M65" s="51"/>
      <c r="N65" s="1"/>
      <c r="O65" s="50"/>
      <c r="P65" s="1"/>
      <c r="Q65" s="1"/>
      <c r="R65" s="1"/>
      <c r="S65" s="1"/>
      <c r="T65" s="1"/>
    </row>
    <row r="66" spans="1:20" ht="12.75" x14ac:dyDescent="0.2">
      <c r="A66" s="53"/>
      <c r="B66" s="7"/>
      <c r="C66" s="16"/>
      <c r="D66" s="13"/>
      <c r="E66" s="8"/>
      <c r="F66" s="6"/>
      <c r="G66" s="6"/>
      <c r="H66" s="8"/>
      <c r="I66" s="14"/>
      <c r="J66" s="15"/>
      <c r="K66" s="15"/>
      <c r="L66" s="34"/>
      <c r="M66" s="51"/>
      <c r="N66" s="1"/>
      <c r="O66" s="1"/>
      <c r="P66" s="1"/>
      <c r="Q66" s="1"/>
      <c r="R66" s="1"/>
      <c r="S66" s="1"/>
      <c r="T66" s="1"/>
    </row>
    <row r="67" spans="1:20" ht="12.75" x14ac:dyDescent="0.2">
      <c r="A67" s="53"/>
      <c r="B67" s="7"/>
      <c r="C67" s="14"/>
      <c r="D67" s="16"/>
      <c r="E67" s="8"/>
      <c r="F67" s="6" t="s">
        <v>0</v>
      </c>
      <c r="G67" s="6" t="s">
        <v>0</v>
      </c>
      <c r="H67" s="8"/>
      <c r="I67" s="15"/>
      <c r="J67" s="15"/>
      <c r="K67" s="15"/>
      <c r="L67" s="34"/>
      <c r="M67" s="51"/>
      <c r="N67" s="1"/>
      <c r="O67" s="1"/>
      <c r="P67" s="1"/>
      <c r="Q67" s="1"/>
      <c r="R67" s="1"/>
      <c r="S67" s="1"/>
      <c r="T67" s="1"/>
    </row>
    <row r="68" spans="1:20" ht="13.5" thickBot="1" x14ac:dyDescent="0.25">
      <c r="A68" s="54"/>
      <c r="B68" s="17" t="s">
        <v>2</v>
      </c>
      <c r="C68" s="48" t="s">
        <v>3</v>
      </c>
      <c r="D68" s="19" t="s">
        <v>2</v>
      </c>
      <c r="E68" s="20" t="s">
        <v>4</v>
      </c>
      <c r="F68" s="18" t="s">
        <v>3</v>
      </c>
      <c r="G68" s="18" t="s">
        <v>3</v>
      </c>
      <c r="H68" s="20" t="s">
        <v>5</v>
      </c>
      <c r="I68" s="18" t="s">
        <v>6</v>
      </c>
      <c r="J68" s="18" t="s">
        <v>6</v>
      </c>
      <c r="K68" s="21">
        <v>0.15</v>
      </c>
      <c r="L68" s="1"/>
      <c r="M68" s="51"/>
      <c r="N68" s="2" t="s">
        <v>7</v>
      </c>
      <c r="O68" s="1"/>
      <c r="P68" s="1"/>
      <c r="Q68" s="1"/>
      <c r="R68" s="1"/>
      <c r="S68" s="1"/>
      <c r="T68" s="1"/>
    </row>
    <row r="69" spans="1:20" ht="14.25" thickTop="1" thickBot="1" x14ac:dyDescent="0.25">
      <c r="A69" s="49"/>
      <c r="B69" s="22">
        <v>1</v>
      </c>
      <c r="C69" s="23">
        <v>700</v>
      </c>
      <c r="D69" s="24" t="s">
        <v>8</v>
      </c>
      <c r="E69" s="25">
        <v>241.9</v>
      </c>
      <c r="F69" s="113">
        <f>N69</f>
        <v>110</v>
      </c>
      <c r="G69" s="23">
        <v>800</v>
      </c>
      <c r="H69" s="23">
        <v>696</v>
      </c>
      <c r="I69" s="26">
        <v>-0.5714285714285714</v>
      </c>
      <c r="J69" s="26">
        <v>6.1325471296595815</v>
      </c>
      <c r="K69" s="27" t="e">
        <v>#VALUE!</v>
      </c>
      <c r="L69" s="28"/>
      <c r="M69" s="29">
        <v>800</v>
      </c>
      <c r="N69" s="45">
        <v>110</v>
      </c>
      <c r="O69" s="30">
        <v>5</v>
      </c>
      <c r="P69" s="3">
        <v>0</v>
      </c>
      <c r="Q69" s="31">
        <v>0.82040000000000002</v>
      </c>
      <c r="R69" s="32">
        <v>0.7</v>
      </c>
      <c r="S69" s="1">
        <v>1000</v>
      </c>
      <c r="T69" s="33">
        <v>820.4</v>
      </c>
    </row>
    <row r="70" spans="1:20" ht="13.5" thickBot="1" x14ac:dyDescent="0.25">
      <c r="A70" s="52" t="s">
        <v>13</v>
      </c>
      <c r="B70" s="22">
        <v>2</v>
      </c>
      <c r="C70" s="23">
        <v>7000</v>
      </c>
      <c r="D70" s="24" t="s">
        <v>8</v>
      </c>
      <c r="E70" s="25">
        <v>77.400000000000006</v>
      </c>
      <c r="F70" s="114"/>
      <c r="G70" s="23">
        <v>7200</v>
      </c>
      <c r="H70" s="23">
        <v>7096</v>
      </c>
      <c r="I70" s="26">
        <v>1.3714285714285714</v>
      </c>
      <c r="J70" s="26">
        <v>6.2846712843275423</v>
      </c>
      <c r="K70" s="27" t="e">
        <v>#VALUE!</v>
      </c>
      <c r="L70" s="34"/>
      <c r="M70" s="29">
        <v>7200</v>
      </c>
      <c r="N70" s="35">
        <v>104</v>
      </c>
      <c r="O70" s="36">
        <v>5</v>
      </c>
      <c r="P70" s="3">
        <v>0</v>
      </c>
      <c r="Q70" s="31">
        <v>6.9059999999999997</v>
      </c>
      <c r="R70" s="32">
        <v>7</v>
      </c>
      <c r="S70" s="1">
        <v>1000</v>
      </c>
      <c r="T70" s="33">
        <v>6906</v>
      </c>
    </row>
    <row r="71" spans="1:20" ht="13.5" thickBot="1" x14ac:dyDescent="0.25">
      <c r="A71" s="3"/>
      <c r="B71" s="22">
        <v>3</v>
      </c>
      <c r="C71" s="23">
        <v>70000</v>
      </c>
      <c r="D71" s="24" t="s">
        <v>10</v>
      </c>
      <c r="E71" s="25">
        <v>167.3</v>
      </c>
      <c r="F71" s="115"/>
      <c r="G71" s="23">
        <v>70100</v>
      </c>
      <c r="H71" s="23">
        <v>69996</v>
      </c>
      <c r="I71" s="26">
        <v>-5.7142857142857143E-3</v>
      </c>
      <c r="J71" s="26">
        <v>5.100004081630571</v>
      </c>
      <c r="K71" s="27" t="e">
        <v>#VALUE!</v>
      </c>
      <c r="L71" s="34"/>
      <c r="M71" s="37">
        <v>70100</v>
      </c>
      <c r="N71" s="35">
        <v>104</v>
      </c>
      <c r="O71" s="36">
        <v>4</v>
      </c>
      <c r="P71" s="38">
        <v>0</v>
      </c>
      <c r="Q71" s="31">
        <v>70.12</v>
      </c>
      <c r="R71" s="32">
        <v>70</v>
      </c>
      <c r="S71" s="1">
        <v>1000</v>
      </c>
      <c r="T71" s="33">
        <v>70120</v>
      </c>
    </row>
    <row r="72" spans="1:20" ht="13.5" thickBot="1" x14ac:dyDescent="0.25">
      <c r="A72" s="3"/>
      <c r="B72" s="22">
        <v>4</v>
      </c>
      <c r="C72" s="23">
        <v>700000</v>
      </c>
      <c r="D72" s="39" t="s">
        <v>10</v>
      </c>
      <c r="E72" s="25">
        <v>53.7</v>
      </c>
      <c r="F72" s="27"/>
      <c r="G72" s="23">
        <v>690000</v>
      </c>
      <c r="H72" s="27"/>
      <c r="I72" s="26">
        <v>-1.4285714285714286</v>
      </c>
      <c r="J72" s="26">
        <v>5.3474482135195736</v>
      </c>
      <c r="K72" s="27" t="e">
        <v>#VALUE!</v>
      </c>
      <c r="L72" s="34"/>
      <c r="M72" s="37">
        <v>690000</v>
      </c>
      <c r="N72" s="40"/>
      <c r="O72" s="36">
        <v>4</v>
      </c>
      <c r="P72" s="3">
        <v>5</v>
      </c>
      <c r="Q72" s="31">
        <v>0.70920000000000005</v>
      </c>
      <c r="R72" s="32">
        <v>0.7</v>
      </c>
      <c r="S72" s="1">
        <v>1000000</v>
      </c>
      <c r="T72" s="33">
        <v>709200</v>
      </c>
    </row>
    <row r="73" spans="1:20" ht="13.5" thickBot="1" x14ac:dyDescent="0.25">
      <c r="A73" s="3"/>
      <c r="B73" s="22">
        <v>5</v>
      </c>
      <c r="C73" s="23">
        <v>7000000</v>
      </c>
      <c r="D73" s="39" t="s">
        <v>11</v>
      </c>
      <c r="E73" s="25">
        <v>364.1</v>
      </c>
      <c r="F73" s="27"/>
      <c r="G73" s="23">
        <v>6900000</v>
      </c>
      <c r="H73" s="27"/>
      <c r="I73" s="26">
        <v>-1.4285714285714286</v>
      </c>
      <c r="J73" s="26">
        <v>5.3474482135195736</v>
      </c>
      <c r="K73" s="27" t="e">
        <v>#VALUE!</v>
      </c>
      <c r="L73" s="34"/>
      <c r="M73" s="37">
        <v>6900000</v>
      </c>
      <c r="N73" s="40"/>
      <c r="O73" s="36">
        <v>4</v>
      </c>
      <c r="P73" s="3"/>
      <c r="Q73" s="31">
        <v>7.5069999999999997</v>
      </c>
      <c r="R73" s="32">
        <v>7</v>
      </c>
      <c r="S73" s="1">
        <v>1000000</v>
      </c>
      <c r="T73" s="33">
        <v>7507000</v>
      </c>
    </row>
    <row r="74" spans="1:20" ht="13.5" thickBot="1" x14ac:dyDescent="0.25">
      <c r="A74" s="3"/>
      <c r="B74" s="22">
        <v>6</v>
      </c>
      <c r="C74" s="23">
        <v>70000000</v>
      </c>
      <c r="D74" s="39" t="s">
        <v>11</v>
      </c>
      <c r="E74" s="25">
        <v>116.7</v>
      </c>
      <c r="F74" s="27"/>
      <c r="G74" s="23">
        <v>68000000</v>
      </c>
      <c r="H74" s="27"/>
      <c r="I74" s="26">
        <v>-2.8571428571428572</v>
      </c>
      <c r="J74" s="26">
        <v>6.015614438310072</v>
      </c>
      <c r="K74" s="27" t="e">
        <v>#VALUE!</v>
      </c>
      <c r="L74" s="34"/>
      <c r="M74" s="37">
        <v>68000000</v>
      </c>
      <c r="N74" s="40"/>
      <c r="O74" s="36">
        <v>4</v>
      </c>
      <c r="P74" s="3"/>
      <c r="Q74" s="31">
        <v>71.7</v>
      </c>
      <c r="R74" s="32">
        <v>70</v>
      </c>
      <c r="S74" s="1">
        <v>1000000</v>
      </c>
      <c r="T74" s="33">
        <v>71700000</v>
      </c>
    </row>
    <row r="75" spans="1:20" ht="13.5" thickBot="1" x14ac:dyDescent="0.25">
      <c r="A75" s="3"/>
      <c r="B75" s="22">
        <v>7</v>
      </c>
      <c r="C75" s="23">
        <v>700000000</v>
      </c>
      <c r="D75" s="39" t="s">
        <v>12</v>
      </c>
      <c r="E75" s="25">
        <v>240.9</v>
      </c>
      <c r="F75" s="27"/>
      <c r="G75" s="23">
        <v>700000000</v>
      </c>
      <c r="H75" s="27"/>
      <c r="I75" s="26">
        <v>0</v>
      </c>
      <c r="J75" s="26">
        <v>5.0999999999999996</v>
      </c>
      <c r="K75" s="27" t="e">
        <v>#VALUE!</v>
      </c>
      <c r="L75" s="34"/>
      <c r="M75" s="37">
        <v>700000000</v>
      </c>
      <c r="N75" s="40"/>
      <c r="O75" s="36">
        <v>4</v>
      </c>
      <c r="P75" s="3"/>
      <c r="Q75" s="31">
        <v>0.70069999999999999</v>
      </c>
      <c r="R75" s="32">
        <v>0.7</v>
      </c>
      <c r="S75" s="4">
        <v>1000000000</v>
      </c>
      <c r="T75" s="33">
        <v>700700000</v>
      </c>
    </row>
    <row r="76" spans="1:20" ht="13.5" thickBot="1" x14ac:dyDescent="0.25">
      <c r="A76" s="41"/>
      <c r="B76" s="22">
        <v>8</v>
      </c>
      <c r="C76" s="23">
        <v>7000000000</v>
      </c>
      <c r="D76" s="39" t="s">
        <v>12</v>
      </c>
      <c r="E76" s="25">
        <v>77.5</v>
      </c>
      <c r="F76" s="27"/>
      <c r="G76" s="23">
        <v>7100000000</v>
      </c>
      <c r="H76" s="27"/>
      <c r="I76" s="26">
        <v>1.4285714285714286</v>
      </c>
      <c r="J76" s="26">
        <v>5.3474482135195736</v>
      </c>
      <c r="K76" s="27" t="e">
        <v>#VALUE!</v>
      </c>
      <c r="L76" s="42"/>
      <c r="M76" s="37">
        <v>7100000000</v>
      </c>
      <c r="N76" s="43"/>
      <c r="O76" s="44">
        <v>4</v>
      </c>
      <c r="P76" s="41"/>
      <c r="Q76" s="31">
        <v>6.9909999999999997</v>
      </c>
      <c r="R76" s="32">
        <v>7</v>
      </c>
      <c r="S76" s="4">
        <v>1000000000</v>
      </c>
      <c r="T76" s="33">
        <v>6991000000</v>
      </c>
    </row>
    <row r="79" spans="1:20" ht="12" thickBot="1" x14ac:dyDescent="0.25"/>
    <row r="80" spans="1:20" ht="13.5" thickBot="1" x14ac:dyDescent="0.25">
      <c r="A80" s="53"/>
      <c r="B80" s="5"/>
      <c r="C80" s="46" t="s">
        <v>0</v>
      </c>
      <c r="D80" s="5"/>
      <c r="E80" s="47"/>
      <c r="F80" s="9" t="s">
        <v>1</v>
      </c>
      <c r="G80" s="10"/>
      <c r="H80" s="47"/>
      <c r="I80" s="11"/>
      <c r="J80" s="12"/>
      <c r="K80" s="12"/>
      <c r="L80" s="1"/>
      <c r="M80" s="51"/>
      <c r="N80" s="1"/>
      <c r="O80" s="50"/>
      <c r="P80" s="1"/>
      <c r="Q80" s="1"/>
      <c r="R80" s="1"/>
      <c r="S80" s="1"/>
      <c r="T80" s="1"/>
    </row>
    <row r="81" spans="1:20" ht="12.75" x14ac:dyDescent="0.2">
      <c r="A81" s="53"/>
      <c r="B81" s="7"/>
      <c r="C81" s="16"/>
      <c r="D81" s="13"/>
      <c r="E81" s="8"/>
      <c r="F81" s="6"/>
      <c r="G81" s="6"/>
      <c r="H81" s="8"/>
      <c r="I81" s="14"/>
      <c r="J81" s="15"/>
      <c r="K81" s="15"/>
      <c r="L81" s="34"/>
      <c r="M81" s="51"/>
      <c r="N81" s="1"/>
      <c r="O81" s="1"/>
      <c r="P81" s="1"/>
      <c r="Q81" s="1"/>
      <c r="R81" s="1"/>
      <c r="S81" s="1"/>
      <c r="T81" s="1"/>
    </row>
    <row r="82" spans="1:20" ht="12.75" x14ac:dyDescent="0.2">
      <c r="A82" s="53"/>
      <c r="B82" s="7"/>
      <c r="C82" s="14"/>
      <c r="D82" s="16"/>
      <c r="E82" s="8"/>
      <c r="F82" s="6" t="s">
        <v>0</v>
      </c>
      <c r="G82" s="6" t="s">
        <v>0</v>
      </c>
      <c r="H82" s="8"/>
      <c r="I82" s="15"/>
      <c r="J82" s="15"/>
      <c r="K82" s="15"/>
      <c r="L82" s="34"/>
      <c r="M82" s="51"/>
      <c r="N82" s="1"/>
      <c r="O82" s="1"/>
      <c r="P82" s="1"/>
      <c r="Q82" s="1"/>
      <c r="R82" s="1"/>
      <c r="S82" s="1"/>
      <c r="T82" s="1"/>
    </row>
    <row r="83" spans="1:20" ht="13.5" thickBot="1" x14ac:dyDescent="0.25">
      <c r="A83" s="54"/>
      <c r="B83" s="17" t="s">
        <v>2</v>
      </c>
      <c r="C83" s="48" t="s">
        <v>3</v>
      </c>
      <c r="D83" s="19" t="s">
        <v>2</v>
      </c>
      <c r="E83" s="20" t="s">
        <v>4</v>
      </c>
      <c r="F83" s="18" t="s">
        <v>3</v>
      </c>
      <c r="G83" s="18" t="s">
        <v>3</v>
      </c>
      <c r="H83" s="20" t="s">
        <v>5</v>
      </c>
      <c r="I83" s="18" t="s">
        <v>6</v>
      </c>
      <c r="J83" s="18" t="s">
        <v>6</v>
      </c>
      <c r="K83" s="21">
        <v>0.15</v>
      </c>
      <c r="L83" s="1"/>
      <c r="M83" s="51"/>
      <c r="N83" s="2" t="s">
        <v>7</v>
      </c>
      <c r="O83" s="1"/>
      <c r="P83" s="1"/>
      <c r="Q83" s="1"/>
      <c r="R83" s="1"/>
      <c r="S83" s="1"/>
      <c r="T83" s="1"/>
    </row>
    <row r="84" spans="1:20" ht="14.25" thickTop="1" thickBot="1" x14ac:dyDescent="0.25">
      <c r="A84" s="49"/>
      <c r="B84" s="22">
        <v>1</v>
      </c>
      <c r="C84" s="23">
        <v>700</v>
      </c>
      <c r="D84" s="24" t="s">
        <v>8</v>
      </c>
      <c r="E84" s="25">
        <v>241.9</v>
      </c>
      <c r="F84" s="113">
        <f>N84</f>
        <v>110</v>
      </c>
      <c r="G84" s="23">
        <v>800</v>
      </c>
      <c r="H84" s="23">
        <v>696</v>
      </c>
      <c r="I84" s="26">
        <v>-0.5714285714285714</v>
      </c>
      <c r="J84" s="26">
        <v>6.1325471296595815</v>
      </c>
      <c r="K84" s="27" t="e">
        <v>#VALUE!</v>
      </c>
      <c r="L84" s="28"/>
      <c r="M84" s="29">
        <v>800</v>
      </c>
      <c r="N84" s="45">
        <v>110</v>
      </c>
      <c r="O84" s="30">
        <v>5</v>
      </c>
      <c r="P84" s="3">
        <v>0</v>
      </c>
      <c r="Q84" s="31">
        <v>0.82040000000000002</v>
      </c>
      <c r="R84" s="32">
        <v>0.7</v>
      </c>
      <c r="S84" s="1">
        <v>1000</v>
      </c>
      <c r="T84" s="33">
        <v>820.4</v>
      </c>
    </row>
    <row r="85" spans="1:20" ht="13.5" thickBot="1" x14ac:dyDescent="0.25">
      <c r="A85" s="52" t="s">
        <v>13</v>
      </c>
      <c r="B85" s="22">
        <v>2</v>
      </c>
      <c r="C85" s="23">
        <v>7000</v>
      </c>
      <c r="D85" s="24" t="s">
        <v>8</v>
      </c>
      <c r="E85" s="25">
        <v>77.400000000000006</v>
      </c>
      <c r="F85" s="114"/>
      <c r="G85" s="23">
        <v>7200</v>
      </c>
      <c r="H85" s="23">
        <v>7096</v>
      </c>
      <c r="I85" s="26">
        <v>1.3714285714285714</v>
      </c>
      <c r="J85" s="26">
        <v>6.2846712843275423</v>
      </c>
      <c r="K85" s="27" t="e">
        <v>#VALUE!</v>
      </c>
      <c r="L85" s="34"/>
      <c r="M85" s="29">
        <v>7200</v>
      </c>
      <c r="N85" s="35">
        <v>104</v>
      </c>
      <c r="O85" s="36">
        <v>5</v>
      </c>
      <c r="P85" s="3">
        <v>0</v>
      </c>
      <c r="Q85" s="31">
        <v>6.9059999999999997</v>
      </c>
      <c r="R85" s="32">
        <v>7</v>
      </c>
      <c r="S85" s="1">
        <v>1000</v>
      </c>
      <c r="T85" s="33">
        <v>6906</v>
      </c>
    </row>
    <row r="86" spans="1:20" ht="13.5" thickBot="1" x14ac:dyDescent="0.25">
      <c r="A86" s="3"/>
      <c r="B86" s="22">
        <v>3</v>
      </c>
      <c r="C86" s="23">
        <v>70000</v>
      </c>
      <c r="D86" s="24" t="s">
        <v>10</v>
      </c>
      <c r="E86" s="25">
        <v>167.3</v>
      </c>
      <c r="F86" s="115"/>
      <c r="G86" s="23">
        <v>70100</v>
      </c>
      <c r="H86" s="23">
        <v>69996</v>
      </c>
      <c r="I86" s="26">
        <v>-5.7142857142857143E-3</v>
      </c>
      <c r="J86" s="26">
        <v>5.100004081630571</v>
      </c>
      <c r="K86" s="27" t="e">
        <v>#VALUE!</v>
      </c>
      <c r="L86" s="34"/>
      <c r="M86" s="37">
        <v>70100</v>
      </c>
      <c r="N86" s="35">
        <v>104</v>
      </c>
      <c r="O86" s="36">
        <v>4</v>
      </c>
      <c r="P86" s="38">
        <v>0</v>
      </c>
      <c r="Q86" s="31">
        <v>70.12</v>
      </c>
      <c r="R86" s="32">
        <v>70</v>
      </c>
      <c r="S86" s="1">
        <v>1000</v>
      </c>
      <c r="T86" s="33">
        <v>70120</v>
      </c>
    </row>
    <row r="87" spans="1:20" ht="13.5" thickBot="1" x14ac:dyDescent="0.25">
      <c r="A87" s="3"/>
      <c r="B87" s="22">
        <v>4</v>
      </c>
      <c r="C87" s="23">
        <v>700000</v>
      </c>
      <c r="D87" s="39" t="s">
        <v>10</v>
      </c>
      <c r="E87" s="25">
        <v>53.7</v>
      </c>
      <c r="F87" s="27"/>
      <c r="G87" s="23">
        <v>690000</v>
      </c>
      <c r="H87" s="27"/>
      <c r="I87" s="26">
        <v>-1.4285714285714286</v>
      </c>
      <c r="J87" s="26">
        <v>5.3474482135195736</v>
      </c>
      <c r="K87" s="27" t="e">
        <v>#VALUE!</v>
      </c>
      <c r="L87" s="34"/>
      <c r="M87" s="37">
        <v>690000</v>
      </c>
      <c r="N87" s="40"/>
      <c r="O87" s="36">
        <v>4</v>
      </c>
      <c r="P87" s="3">
        <v>5</v>
      </c>
      <c r="Q87" s="31">
        <v>0.70920000000000005</v>
      </c>
      <c r="R87" s="32">
        <v>0.7</v>
      </c>
      <c r="S87" s="1">
        <v>1000000</v>
      </c>
      <c r="T87" s="33">
        <v>709200</v>
      </c>
    </row>
    <row r="88" spans="1:20" ht="13.5" thickBot="1" x14ac:dyDescent="0.25">
      <c r="A88" s="3"/>
      <c r="B88" s="22">
        <v>5</v>
      </c>
      <c r="C88" s="23">
        <v>7000000</v>
      </c>
      <c r="D88" s="39" t="s">
        <v>11</v>
      </c>
      <c r="E88" s="25">
        <v>364.1</v>
      </c>
      <c r="F88" s="27"/>
      <c r="G88" s="23">
        <v>6900000</v>
      </c>
      <c r="H88" s="27"/>
      <c r="I88" s="26">
        <v>-1.4285714285714286</v>
      </c>
      <c r="J88" s="26">
        <v>5.3474482135195736</v>
      </c>
      <c r="K88" s="27" t="e">
        <v>#VALUE!</v>
      </c>
      <c r="L88" s="34"/>
      <c r="M88" s="37">
        <v>6900000</v>
      </c>
      <c r="N88" s="40"/>
      <c r="O88" s="36">
        <v>4</v>
      </c>
      <c r="P88" s="3"/>
      <c r="Q88" s="31">
        <v>7.5069999999999997</v>
      </c>
      <c r="R88" s="32">
        <v>7</v>
      </c>
      <c r="S88" s="1">
        <v>1000000</v>
      </c>
      <c r="T88" s="33">
        <v>7507000</v>
      </c>
    </row>
    <row r="89" spans="1:20" ht="13.5" thickBot="1" x14ac:dyDescent="0.25">
      <c r="A89" s="3"/>
      <c r="B89" s="22">
        <v>6</v>
      </c>
      <c r="C89" s="23">
        <v>70000000</v>
      </c>
      <c r="D89" s="39" t="s">
        <v>11</v>
      </c>
      <c r="E89" s="25">
        <v>116.7</v>
      </c>
      <c r="F89" s="27"/>
      <c r="G89" s="23">
        <v>68000000</v>
      </c>
      <c r="H89" s="27"/>
      <c r="I89" s="26">
        <v>-2.8571428571428572</v>
      </c>
      <c r="J89" s="26">
        <v>6.015614438310072</v>
      </c>
      <c r="K89" s="27" t="e">
        <v>#VALUE!</v>
      </c>
      <c r="L89" s="34"/>
      <c r="M89" s="37">
        <v>68000000</v>
      </c>
      <c r="N89" s="40"/>
      <c r="O89" s="36">
        <v>4</v>
      </c>
      <c r="P89" s="3"/>
      <c r="Q89" s="31">
        <v>71.7</v>
      </c>
      <c r="R89" s="32">
        <v>70</v>
      </c>
      <c r="S89" s="1">
        <v>1000000</v>
      </c>
      <c r="T89" s="33">
        <v>71700000</v>
      </c>
    </row>
    <row r="90" spans="1:20" ht="13.5" thickBot="1" x14ac:dyDescent="0.25">
      <c r="A90" s="3"/>
      <c r="B90" s="22">
        <v>7</v>
      </c>
      <c r="C90" s="23">
        <v>700000000</v>
      </c>
      <c r="D90" s="39" t="s">
        <v>12</v>
      </c>
      <c r="E90" s="25">
        <v>240.9</v>
      </c>
      <c r="F90" s="27"/>
      <c r="G90" s="23">
        <v>700000000</v>
      </c>
      <c r="H90" s="27"/>
      <c r="I90" s="26">
        <v>0</v>
      </c>
      <c r="J90" s="26">
        <v>5.0999999999999996</v>
      </c>
      <c r="K90" s="27" t="e">
        <v>#VALUE!</v>
      </c>
      <c r="L90" s="34"/>
      <c r="M90" s="37">
        <v>700000000</v>
      </c>
      <c r="N90" s="40"/>
      <c r="O90" s="36">
        <v>4</v>
      </c>
      <c r="P90" s="3"/>
      <c r="Q90" s="31">
        <v>0.70069999999999999</v>
      </c>
      <c r="R90" s="32">
        <v>0.7</v>
      </c>
      <c r="S90" s="4">
        <v>1000000000</v>
      </c>
      <c r="T90" s="33">
        <v>700700000</v>
      </c>
    </row>
    <row r="91" spans="1:20" ht="13.5" thickBot="1" x14ac:dyDescent="0.25">
      <c r="A91" s="41"/>
      <c r="B91" s="22">
        <v>8</v>
      </c>
      <c r="C91" s="23">
        <v>7000000000</v>
      </c>
      <c r="D91" s="39" t="s">
        <v>12</v>
      </c>
      <c r="E91" s="25">
        <v>77.5</v>
      </c>
      <c r="F91" s="27"/>
      <c r="G91" s="23">
        <v>7100000000</v>
      </c>
      <c r="H91" s="27"/>
      <c r="I91" s="26">
        <v>1.4285714285714286</v>
      </c>
      <c r="J91" s="26">
        <v>5.3474482135195736</v>
      </c>
      <c r="K91" s="27" t="e">
        <v>#VALUE!</v>
      </c>
      <c r="L91" s="42"/>
      <c r="M91" s="37">
        <v>7100000000</v>
      </c>
      <c r="N91" s="43"/>
      <c r="O91" s="44">
        <v>4</v>
      </c>
      <c r="P91" s="41"/>
      <c r="Q91" s="31">
        <v>6.9909999999999997</v>
      </c>
      <c r="R91" s="32">
        <v>7</v>
      </c>
      <c r="S91" s="4">
        <v>1000000000</v>
      </c>
      <c r="T91" s="33">
        <v>6991000000</v>
      </c>
    </row>
    <row r="94" spans="1:20" ht="12" thickBot="1" x14ac:dyDescent="0.25"/>
    <row r="95" spans="1:20" ht="13.5" thickBot="1" x14ac:dyDescent="0.25">
      <c r="A95" s="53"/>
      <c r="B95" s="5"/>
      <c r="C95" s="46" t="s">
        <v>0</v>
      </c>
      <c r="D95" s="5"/>
      <c r="E95" s="47"/>
      <c r="F95" s="9" t="s">
        <v>1</v>
      </c>
      <c r="G95" s="10"/>
      <c r="H95" s="47"/>
      <c r="I95" s="11"/>
      <c r="J95" s="12"/>
      <c r="K95" s="12"/>
      <c r="L95" s="1"/>
      <c r="M95" s="51"/>
      <c r="N95" s="1"/>
      <c r="O95" s="50"/>
      <c r="P95" s="1"/>
      <c r="Q95" s="1"/>
      <c r="R95" s="1"/>
      <c r="S95" s="1"/>
      <c r="T95" s="1"/>
    </row>
    <row r="96" spans="1:20" ht="12.75" x14ac:dyDescent="0.2">
      <c r="A96" s="53"/>
      <c r="B96" s="7"/>
      <c r="C96" s="16"/>
      <c r="D96" s="13"/>
      <c r="E96" s="8"/>
      <c r="F96" s="6"/>
      <c r="G96" s="6"/>
      <c r="H96" s="8"/>
      <c r="I96" s="14"/>
      <c r="J96" s="15"/>
      <c r="K96" s="15"/>
      <c r="L96" s="34"/>
      <c r="M96" s="51"/>
      <c r="N96" s="1"/>
      <c r="O96" s="1"/>
      <c r="P96" s="1"/>
      <c r="Q96" s="1"/>
      <c r="R96" s="1"/>
      <c r="S96" s="1"/>
      <c r="T96" s="1"/>
    </row>
    <row r="97" spans="1:20" ht="12.75" x14ac:dyDescent="0.2">
      <c r="A97" s="53"/>
      <c r="B97" s="7"/>
      <c r="C97" s="14"/>
      <c r="D97" s="16"/>
      <c r="E97" s="8"/>
      <c r="F97" s="6" t="s">
        <v>0</v>
      </c>
      <c r="G97" s="6" t="s">
        <v>0</v>
      </c>
      <c r="H97" s="8"/>
      <c r="I97" s="15"/>
      <c r="J97" s="15"/>
      <c r="K97" s="15"/>
      <c r="L97" s="34"/>
      <c r="M97" s="51"/>
      <c r="N97" s="1"/>
      <c r="O97" s="1"/>
      <c r="P97" s="1"/>
      <c r="Q97" s="1"/>
      <c r="R97" s="1"/>
      <c r="S97" s="1"/>
      <c r="T97" s="1"/>
    </row>
    <row r="98" spans="1:20" ht="13.5" thickBot="1" x14ac:dyDescent="0.25">
      <c r="A98" s="54"/>
      <c r="B98" s="17" t="s">
        <v>2</v>
      </c>
      <c r="C98" s="48" t="s">
        <v>3</v>
      </c>
      <c r="D98" s="19" t="s">
        <v>2</v>
      </c>
      <c r="E98" s="20" t="s">
        <v>4</v>
      </c>
      <c r="F98" s="18" t="s">
        <v>3</v>
      </c>
      <c r="G98" s="18" t="s">
        <v>3</v>
      </c>
      <c r="H98" s="20" t="s">
        <v>5</v>
      </c>
      <c r="I98" s="18" t="s">
        <v>6</v>
      </c>
      <c r="J98" s="18" t="s">
        <v>6</v>
      </c>
      <c r="K98" s="21">
        <v>0.15</v>
      </c>
      <c r="L98" s="1"/>
      <c r="M98" s="51"/>
      <c r="N98" s="2" t="s">
        <v>7</v>
      </c>
      <c r="O98" s="1"/>
      <c r="P98" s="1"/>
      <c r="Q98" s="1"/>
      <c r="R98" s="1"/>
      <c r="S98" s="1"/>
      <c r="T98" s="1"/>
    </row>
    <row r="99" spans="1:20" ht="14.25" thickTop="1" thickBot="1" x14ac:dyDescent="0.25">
      <c r="A99" s="49"/>
      <c r="B99" s="22">
        <v>1</v>
      </c>
      <c r="C99" s="23">
        <v>700</v>
      </c>
      <c r="D99" s="24" t="s">
        <v>8</v>
      </c>
      <c r="E99" s="25">
        <v>241.9</v>
      </c>
      <c r="F99" s="113">
        <f>N99</f>
        <v>110</v>
      </c>
      <c r="G99" s="23">
        <v>800</v>
      </c>
      <c r="H99" s="23">
        <v>696</v>
      </c>
      <c r="I99" s="26">
        <v>-0.5714285714285714</v>
      </c>
      <c r="J99" s="26">
        <v>6.1325471296595815</v>
      </c>
      <c r="K99" s="27" t="e">
        <v>#VALUE!</v>
      </c>
      <c r="L99" s="28"/>
      <c r="M99" s="29">
        <v>800</v>
      </c>
      <c r="N99" s="45">
        <v>110</v>
      </c>
      <c r="O99" s="30">
        <v>5</v>
      </c>
      <c r="P99" s="3">
        <v>0</v>
      </c>
      <c r="Q99" s="31">
        <v>0.82040000000000002</v>
      </c>
      <c r="R99" s="32">
        <v>0.7</v>
      </c>
      <c r="S99" s="1">
        <v>1000</v>
      </c>
      <c r="T99" s="33">
        <v>820.4</v>
      </c>
    </row>
    <row r="100" spans="1:20" ht="13.5" thickBot="1" x14ac:dyDescent="0.25">
      <c r="A100" s="52" t="s">
        <v>13</v>
      </c>
      <c r="B100" s="22">
        <v>2</v>
      </c>
      <c r="C100" s="23">
        <v>7000</v>
      </c>
      <c r="D100" s="24" t="s">
        <v>8</v>
      </c>
      <c r="E100" s="25">
        <v>77.400000000000006</v>
      </c>
      <c r="F100" s="114"/>
      <c r="G100" s="23">
        <v>7200</v>
      </c>
      <c r="H100" s="23">
        <v>7096</v>
      </c>
      <c r="I100" s="26">
        <v>1.3714285714285714</v>
      </c>
      <c r="J100" s="26">
        <v>6.2846712843275423</v>
      </c>
      <c r="K100" s="27" t="e">
        <v>#VALUE!</v>
      </c>
      <c r="L100" s="34"/>
      <c r="M100" s="29">
        <v>7200</v>
      </c>
      <c r="N100" s="35">
        <v>104</v>
      </c>
      <c r="O100" s="36">
        <v>5</v>
      </c>
      <c r="P100" s="3">
        <v>0</v>
      </c>
      <c r="Q100" s="31">
        <v>6.9059999999999997</v>
      </c>
      <c r="R100" s="32">
        <v>7</v>
      </c>
      <c r="S100" s="1">
        <v>1000</v>
      </c>
      <c r="T100" s="33">
        <v>6906</v>
      </c>
    </row>
    <row r="101" spans="1:20" ht="13.5" thickBot="1" x14ac:dyDescent="0.25">
      <c r="A101" s="3"/>
      <c r="B101" s="22">
        <v>3</v>
      </c>
      <c r="C101" s="23">
        <v>70000</v>
      </c>
      <c r="D101" s="24" t="s">
        <v>10</v>
      </c>
      <c r="E101" s="25">
        <v>167.3</v>
      </c>
      <c r="F101" s="115"/>
      <c r="G101" s="23">
        <v>70100</v>
      </c>
      <c r="H101" s="23">
        <v>69996</v>
      </c>
      <c r="I101" s="26">
        <v>-5.7142857142857143E-3</v>
      </c>
      <c r="J101" s="26">
        <v>5.100004081630571</v>
      </c>
      <c r="K101" s="27" t="e">
        <v>#VALUE!</v>
      </c>
      <c r="L101" s="34"/>
      <c r="M101" s="37">
        <v>70100</v>
      </c>
      <c r="N101" s="35">
        <v>104</v>
      </c>
      <c r="O101" s="36">
        <v>4</v>
      </c>
      <c r="P101" s="38">
        <v>0</v>
      </c>
      <c r="Q101" s="31">
        <v>70.12</v>
      </c>
      <c r="R101" s="32">
        <v>70</v>
      </c>
      <c r="S101" s="1">
        <v>1000</v>
      </c>
      <c r="T101" s="33">
        <v>70120</v>
      </c>
    </row>
    <row r="102" spans="1:20" ht="13.5" thickBot="1" x14ac:dyDescent="0.25">
      <c r="A102" s="3"/>
      <c r="B102" s="22">
        <v>4</v>
      </c>
      <c r="C102" s="23">
        <v>700000</v>
      </c>
      <c r="D102" s="39" t="s">
        <v>10</v>
      </c>
      <c r="E102" s="25">
        <v>53.7</v>
      </c>
      <c r="F102" s="27"/>
      <c r="G102" s="23">
        <v>690000</v>
      </c>
      <c r="H102" s="27"/>
      <c r="I102" s="26">
        <v>-1.4285714285714286</v>
      </c>
      <c r="J102" s="26">
        <v>5.3474482135195736</v>
      </c>
      <c r="K102" s="27" t="e">
        <v>#VALUE!</v>
      </c>
      <c r="L102" s="34"/>
      <c r="M102" s="37">
        <v>690000</v>
      </c>
      <c r="N102" s="40"/>
      <c r="O102" s="36">
        <v>4</v>
      </c>
      <c r="P102" s="3">
        <v>5</v>
      </c>
      <c r="Q102" s="31">
        <v>0.70920000000000005</v>
      </c>
      <c r="R102" s="32">
        <v>0.7</v>
      </c>
      <c r="S102" s="1">
        <v>1000000</v>
      </c>
      <c r="T102" s="33">
        <v>709200</v>
      </c>
    </row>
    <row r="103" spans="1:20" ht="13.5" thickBot="1" x14ac:dyDescent="0.25">
      <c r="A103" s="3"/>
      <c r="B103" s="22">
        <v>5</v>
      </c>
      <c r="C103" s="23">
        <v>7000000</v>
      </c>
      <c r="D103" s="39" t="s">
        <v>11</v>
      </c>
      <c r="E103" s="25">
        <v>364.1</v>
      </c>
      <c r="F103" s="27"/>
      <c r="G103" s="23">
        <v>6900000</v>
      </c>
      <c r="H103" s="27"/>
      <c r="I103" s="26">
        <v>-1.4285714285714286</v>
      </c>
      <c r="J103" s="26">
        <v>5.3474482135195736</v>
      </c>
      <c r="K103" s="27" t="e">
        <v>#VALUE!</v>
      </c>
      <c r="L103" s="34"/>
      <c r="M103" s="37">
        <v>6900000</v>
      </c>
      <c r="N103" s="40"/>
      <c r="O103" s="36">
        <v>4</v>
      </c>
      <c r="P103" s="3"/>
      <c r="Q103" s="31">
        <v>7.5069999999999997</v>
      </c>
      <c r="R103" s="32">
        <v>7</v>
      </c>
      <c r="S103" s="1">
        <v>1000000</v>
      </c>
      <c r="T103" s="33">
        <v>7507000</v>
      </c>
    </row>
    <row r="104" spans="1:20" ht="13.5" thickBot="1" x14ac:dyDescent="0.25">
      <c r="A104" s="3"/>
      <c r="B104" s="22">
        <v>6</v>
      </c>
      <c r="C104" s="23">
        <v>70000000</v>
      </c>
      <c r="D104" s="39" t="s">
        <v>11</v>
      </c>
      <c r="E104" s="25">
        <v>116.7</v>
      </c>
      <c r="F104" s="27"/>
      <c r="G104" s="23">
        <v>68000000</v>
      </c>
      <c r="H104" s="27"/>
      <c r="I104" s="26">
        <v>-2.8571428571428572</v>
      </c>
      <c r="J104" s="26">
        <v>6.015614438310072</v>
      </c>
      <c r="K104" s="27" t="e">
        <v>#VALUE!</v>
      </c>
      <c r="L104" s="34"/>
      <c r="M104" s="37">
        <v>68000000</v>
      </c>
      <c r="N104" s="40"/>
      <c r="O104" s="36">
        <v>4</v>
      </c>
      <c r="P104" s="3"/>
      <c r="Q104" s="31">
        <v>71.7</v>
      </c>
      <c r="R104" s="32">
        <v>70</v>
      </c>
      <c r="S104" s="1">
        <v>1000000</v>
      </c>
      <c r="T104" s="33">
        <v>71700000</v>
      </c>
    </row>
    <row r="105" spans="1:20" ht="13.5" thickBot="1" x14ac:dyDescent="0.25">
      <c r="A105" s="3"/>
      <c r="B105" s="22">
        <v>7</v>
      </c>
      <c r="C105" s="23">
        <v>700000000</v>
      </c>
      <c r="D105" s="39" t="s">
        <v>12</v>
      </c>
      <c r="E105" s="25">
        <v>240.9</v>
      </c>
      <c r="F105" s="27"/>
      <c r="G105" s="23">
        <v>700000000</v>
      </c>
      <c r="H105" s="27"/>
      <c r="I105" s="26">
        <v>0</v>
      </c>
      <c r="J105" s="26">
        <v>5.0999999999999996</v>
      </c>
      <c r="K105" s="27" t="e">
        <v>#VALUE!</v>
      </c>
      <c r="L105" s="34"/>
      <c r="M105" s="37">
        <v>700000000</v>
      </c>
      <c r="N105" s="40"/>
      <c r="O105" s="36">
        <v>4</v>
      </c>
      <c r="P105" s="3"/>
      <c r="Q105" s="31">
        <v>0.70069999999999999</v>
      </c>
      <c r="R105" s="32">
        <v>0.7</v>
      </c>
      <c r="S105" s="4">
        <v>1000000000</v>
      </c>
      <c r="T105" s="33">
        <v>700700000</v>
      </c>
    </row>
    <row r="106" spans="1:20" ht="13.5" thickBot="1" x14ac:dyDescent="0.25">
      <c r="A106" s="41"/>
      <c r="B106" s="22">
        <v>8</v>
      </c>
      <c r="C106" s="23">
        <v>7000000000</v>
      </c>
      <c r="D106" s="39" t="s">
        <v>12</v>
      </c>
      <c r="E106" s="25">
        <v>77.5</v>
      </c>
      <c r="F106" s="27"/>
      <c r="G106" s="23">
        <v>7100000000</v>
      </c>
      <c r="H106" s="27"/>
      <c r="I106" s="26">
        <v>1.4285714285714286</v>
      </c>
      <c r="J106" s="26">
        <v>5.3474482135195736</v>
      </c>
      <c r="K106" s="27" t="e">
        <v>#VALUE!</v>
      </c>
      <c r="L106" s="42"/>
      <c r="M106" s="37">
        <v>7100000000</v>
      </c>
      <c r="N106" s="43"/>
      <c r="O106" s="44">
        <v>4</v>
      </c>
      <c r="P106" s="41"/>
      <c r="Q106" s="31">
        <v>6.9909999999999997</v>
      </c>
      <c r="R106" s="32">
        <v>7</v>
      </c>
      <c r="S106" s="4">
        <v>1000000000</v>
      </c>
      <c r="T106" s="33">
        <v>6991000000</v>
      </c>
    </row>
    <row r="109" spans="1:20" ht="12" thickBot="1" x14ac:dyDescent="0.25"/>
    <row r="110" spans="1:20" ht="13.5" thickBot="1" x14ac:dyDescent="0.25">
      <c r="A110" s="53"/>
      <c r="B110" s="5"/>
      <c r="C110" s="46" t="s">
        <v>0</v>
      </c>
      <c r="D110" s="5"/>
      <c r="E110" s="47"/>
      <c r="F110" s="9" t="s">
        <v>1</v>
      </c>
      <c r="G110" s="10"/>
      <c r="H110" s="47"/>
      <c r="I110" s="11"/>
      <c r="J110" s="12"/>
      <c r="K110" s="12"/>
      <c r="L110" s="1"/>
      <c r="M110" s="51"/>
      <c r="N110" s="1"/>
      <c r="O110" s="50"/>
      <c r="P110" s="1"/>
      <c r="Q110" s="1"/>
      <c r="R110" s="1"/>
      <c r="S110" s="1"/>
      <c r="T110" s="1"/>
    </row>
    <row r="111" spans="1:20" ht="12.75" x14ac:dyDescent="0.2">
      <c r="A111" s="53"/>
      <c r="B111" s="7"/>
      <c r="C111" s="16"/>
      <c r="D111" s="13"/>
      <c r="E111" s="8"/>
      <c r="F111" s="6"/>
      <c r="G111" s="6"/>
      <c r="H111" s="8"/>
      <c r="I111" s="14"/>
      <c r="J111" s="15"/>
      <c r="K111" s="15"/>
      <c r="L111" s="34"/>
      <c r="M111" s="51"/>
      <c r="N111" s="1"/>
      <c r="O111" s="1"/>
      <c r="P111" s="1"/>
      <c r="Q111" s="1"/>
      <c r="R111" s="1"/>
      <c r="S111" s="1"/>
      <c r="T111" s="1"/>
    </row>
    <row r="112" spans="1:20" ht="12.75" x14ac:dyDescent="0.2">
      <c r="A112" s="53"/>
      <c r="B112" s="7"/>
      <c r="C112" s="14"/>
      <c r="D112" s="16"/>
      <c r="E112" s="8"/>
      <c r="F112" s="6" t="s">
        <v>0</v>
      </c>
      <c r="G112" s="6" t="s">
        <v>0</v>
      </c>
      <c r="H112" s="8"/>
      <c r="I112" s="15"/>
      <c r="J112" s="15"/>
      <c r="K112" s="15"/>
      <c r="L112" s="34"/>
      <c r="M112" s="51"/>
      <c r="N112" s="1"/>
      <c r="O112" s="1"/>
      <c r="P112" s="1"/>
      <c r="Q112" s="1"/>
      <c r="R112" s="1"/>
      <c r="S112" s="1"/>
      <c r="T112" s="1"/>
    </row>
    <row r="113" spans="1:20" ht="13.5" thickBot="1" x14ac:dyDescent="0.25">
      <c r="A113" s="54"/>
      <c r="B113" s="17" t="s">
        <v>2</v>
      </c>
      <c r="C113" s="48" t="s">
        <v>3</v>
      </c>
      <c r="D113" s="19" t="s">
        <v>2</v>
      </c>
      <c r="E113" s="20" t="s">
        <v>4</v>
      </c>
      <c r="F113" s="18" t="s">
        <v>3</v>
      </c>
      <c r="G113" s="18" t="s">
        <v>3</v>
      </c>
      <c r="H113" s="20" t="s">
        <v>5</v>
      </c>
      <c r="I113" s="18" t="s">
        <v>6</v>
      </c>
      <c r="J113" s="18" t="s">
        <v>6</v>
      </c>
      <c r="K113" s="21">
        <v>0.15</v>
      </c>
      <c r="L113" s="1"/>
      <c r="M113" s="51"/>
      <c r="N113" s="2" t="s">
        <v>7</v>
      </c>
      <c r="O113" s="1"/>
      <c r="P113" s="1"/>
      <c r="Q113" s="1"/>
      <c r="R113" s="1"/>
      <c r="S113" s="1"/>
      <c r="T113" s="1"/>
    </row>
    <row r="114" spans="1:20" ht="14.25" thickTop="1" thickBot="1" x14ac:dyDescent="0.25">
      <c r="A114" s="49"/>
      <c r="B114" s="22">
        <v>1</v>
      </c>
      <c r="C114" s="23">
        <v>700</v>
      </c>
      <c r="D114" s="24" t="s">
        <v>8</v>
      </c>
      <c r="E114" s="25">
        <v>241.9</v>
      </c>
      <c r="F114" s="113">
        <f>N114</f>
        <v>110</v>
      </c>
      <c r="G114" s="23">
        <v>800</v>
      </c>
      <c r="H114" s="23">
        <v>696</v>
      </c>
      <c r="I114" s="26">
        <v>-0.5714285714285714</v>
      </c>
      <c r="J114" s="26">
        <v>6.1325471296595815</v>
      </c>
      <c r="K114" s="27" t="e">
        <v>#VALUE!</v>
      </c>
      <c r="L114" s="28"/>
      <c r="M114" s="29">
        <v>800</v>
      </c>
      <c r="N114" s="45">
        <v>110</v>
      </c>
      <c r="O114" s="30">
        <v>5</v>
      </c>
      <c r="P114" s="3">
        <v>0</v>
      </c>
      <c r="Q114" s="31">
        <v>0.82040000000000002</v>
      </c>
      <c r="R114" s="32">
        <v>0.7</v>
      </c>
      <c r="S114" s="1">
        <v>1000</v>
      </c>
      <c r="T114" s="33">
        <v>820.4</v>
      </c>
    </row>
    <row r="115" spans="1:20" ht="13.5" thickBot="1" x14ac:dyDescent="0.25">
      <c r="A115" s="52" t="s">
        <v>13</v>
      </c>
      <c r="B115" s="22">
        <v>2</v>
      </c>
      <c r="C115" s="23">
        <v>7000</v>
      </c>
      <c r="D115" s="24" t="s">
        <v>8</v>
      </c>
      <c r="E115" s="25">
        <v>77.400000000000006</v>
      </c>
      <c r="F115" s="114"/>
      <c r="G115" s="23">
        <v>7200</v>
      </c>
      <c r="H115" s="23">
        <v>7096</v>
      </c>
      <c r="I115" s="26">
        <v>1.3714285714285714</v>
      </c>
      <c r="J115" s="26">
        <v>6.2846712843275423</v>
      </c>
      <c r="K115" s="27" t="e">
        <v>#VALUE!</v>
      </c>
      <c r="L115" s="34"/>
      <c r="M115" s="29">
        <v>7200</v>
      </c>
      <c r="N115" s="35">
        <v>104</v>
      </c>
      <c r="O115" s="36">
        <v>5</v>
      </c>
      <c r="P115" s="3">
        <v>0</v>
      </c>
      <c r="Q115" s="31">
        <v>6.9059999999999997</v>
      </c>
      <c r="R115" s="32">
        <v>7</v>
      </c>
      <c r="S115" s="1">
        <v>1000</v>
      </c>
      <c r="T115" s="33">
        <v>6906</v>
      </c>
    </row>
    <row r="116" spans="1:20" ht="13.5" thickBot="1" x14ac:dyDescent="0.25">
      <c r="A116" s="3"/>
      <c r="B116" s="22">
        <v>3</v>
      </c>
      <c r="C116" s="23">
        <v>70000</v>
      </c>
      <c r="D116" s="24" t="s">
        <v>10</v>
      </c>
      <c r="E116" s="25">
        <v>167.3</v>
      </c>
      <c r="F116" s="115"/>
      <c r="G116" s="23">
        <v>70100</v>
      </c>
      <c r="H116" s="23">
        <v>69996</v>
      </c>
      <c r="I116" s="26">
        <v>-5.7142857142857143E-3</v>
      </c>
      <c r="J116" s="26">
        <v>5.100004081630571</v>
      </c>
      <c r="K116" s="27" t="e">
        <v>#VALUE!</v>
      </c>
      <c r="L116" s="34"/>
      <c r="M116" s="37">
        <v>70100</v>
      </c>
      <c r="N116" s="35">
        <v>104</v>
      </c>
      <c r="O116" s="36">
        <v>4</v>
      </c>
      <c r="P116" s="38">
        <v>0</v>
      </c>
      <c r="Q116" s="31">
        <v>70.12</v>
      </c>
      <c r="R116" s="32">
        <v>70</v>
      </c>
      <c r="S116" s="1">
        <v>1000</v>
      </c>
      <c r="T116" s="33">
        <v>70120</v>
      </c>
    </row>
    <row r="117" spans="1:20" ht="13.5" thickBot="1" x14ac:dyDescent="0.25">
      <c r="A117" s="3"/>
      <c r="B117" s="22">
        <v>4</v>
      </c>
      <c r="C117" s="23">
        <v>700000</v>
      </c>
      <c r="D117" s="39" t="s">
        <v>10</v>
      </c>
      <c r="E117" s="25">
        <v>53.7</v>
      </c>
      <c r="F117" s="27"/>
      <c r="G117" s="23">
        <v>690000</v>
      </c>
      <c r="H117" s="27"/>
      <c r="I117" s="26">
        <v>-1.4285714285714286</v>
      </c>
      <c r="J117" s="26">
        <v>5.3474482135195736</v>
      </c>
      <c r="K117" s="27" t="e">
        <v>#VALUE!</v>
      </c>
      <c r="L117" s="34"/>
      <c r="M117" s="37">
        <v>690000</v>
      </c>
      <c r="N117" s="40"/>
      <c r="O117" s="36">
        <v>4</v>
      </c>
      <c r="P117" s="3">
        <v>5</v>
      </c>
      <c r="Q117" s="31">
        <v>0.70920000000000005</v>
      </c>
      <c r="R117" s="32">
        <v>0.7</v>
      </c>
      <c r="S117" s="1">
        <v>1000000</v>
      </c>
      <c r="T117" s="33">
        <v>709200</v>
      </c>
    </row>
    <row r="118" spans="1:20" ht="13.5" thickBot="1" x14ac:dyDescent="0.25">
      <c r="A118" s="3"/>
      <c r="B118" s="22">
        <v>5</v>
      </c>
      <c r="C118" s="23">
        <v>7000000</v>
      </c>
      <c r="D118" s="39" t="s">
        <v>11</v>
      </c>
      <c r="E118" s="25">
        <v>364.1</v>
      </c>
      <c r="F118" s="27"/>
      <c r="G118" s="23">
        <v>6900000</v>
      </c>
      <c r="H118" s="27"/>
      <c r="I118" s="26">
        <v>-1.4285714285714286</v>
      </c>
      <c r="J118" s="26">
        <v>5.3474482135195736</v>
      </c>
      <c r="K118" s="27" t="e">
        <v>#VALUE!</v>
      </c>
      <c r="L118" s="34"/>
      <c r="M118" s="37">
        <v>6900000</v>
      </c>
      <c r="N118" s="40"/>
      <c r="O118" s="36">
        <v>4</v>
      </c>
      <c r="P118" s="3"/>
      <c r="Q118" s="31">
        <v>7.5069999999999997</v>
      </c>
      <c r="R118" s="32">
        <v>7</v>
      </c>
      <c r="S118" s="1">
        <v>1000000</v>
      </c>
      <c r="T118" s="33">
        <v>7507000</v>
      </c>
    </row>
    <row r="119" spans="1:20" ht="13.5" thickBot="1" x14ac:dyDescent="0.25">
      <c r="A119" s="3"/>
      <c r="B119" s="22">
        <v>6</v>
      </c>
      <c r="C119" s="23">
        <v>70000000</v>
      </c>
      <c r="D119" s="39" t="s">
        <v>11</v>
      </c>
      <c r="E119" s="25">
        <v>116.7</v>
      </c>
      <c r="F119" s="27"/>
      <c r="G119" s="23">
        <v>68000000</v>
      </c>
      <c r="H119" s="27"/>
      <c r="I119" s="26">
        <v>-2.8571428571428572</v>
      </c>
      <c r="J119" s="26">
        <v>6.015614438310072</v>
      </c>
      <c r="K119" s="27" t="e">
        <v>#VALUE!</v>
      </c>
      <c r="L119" s="34"/>
      <c r="M119" s="37">
        <v>68000000</v>
      </c>
      <c r="N119" s="40"/>
      <c r="O119" s="36">
        <v>4</v>
      </c>
      <c r="P119" s="3"/>
      <c r="Q119" s="31">
        <v>71.7</v>
      </c>
      <c r="R119" s="32">
        <v>70</v>
      </c>
      <c r="S119" s="1">
        <v>1000000</v>
      </c>
      <c r="T119" s="33">
        <v>71700000</v>
      </c>
    </row>
    <row r="120" spans="1:20" ht="13.5" thickBot="1" x14ac:dyDescent="0.25">
      <c r="A120" s="3"/>
      <c r="B120" s="22">
        <v>7</v>
      </c>
      <c r="C120" s="23">
        <v>700000000</v>
      </c>
      <c r="D120" s="39" t="s">
        <v>12</v>
      </c>
      <c r="E120" s="25">
        <v>240.9</v>
      </c>
      <c r="F120" s="27"/>
      <c r="G120" s="23">
        <v>700000000</v>
      </c>
      <c r="H120" s="27"/>
      <c r="I120" s="26">
        <v>0</v>
      </c>
      <c r="J120" s="26">
        <v>5.0999999999999996</v>
      </c>
      <c r="K120" s="27" t="e">
        <v>#VALUE!</v>
      </c>
      <c r="L120" s="34"/>
      <c r="M120" s="37">
        <v>700000000</v>
      </c>
      <c r="N120" s="40"/>
      <c r="O120" s="36">
        <v>4</v>
      </c>
      <c r="P120" s="3"/>
      <c r="Q120" s="31">
        <v>0.70069999999999999</v>
      </c>
      <c r="R120" s="32">
        <v>0.7</v>
      </c>
      <c r="S120" s="4">
        <v>1000000000</v>
      </c>
      <c r="T120" s="33">
        <v>700700000</v>
      </c>
    </row>
    <row r="121" spans="1:20" ht="13.5" thickBot="1" x14ac:dyDescent="0.25">
      <c r="A121" s="41"/>
      <c r="B121" s="22">
        <v>8</v>
      </c>
      <c r="C121" s="23">
        <v>7000000000</v>
      </c>
      <c r="D121" s="39" t="s">
        <v>12</v>
      </c>
      <c r="E121" s="25">
        <v>77.5</v>
      </c>
      <c r="F121" s="27"/>
      <c r="G121" s="23">
        <v>7100000000</v>
      </c>
      <c r="H121" s="27"/>
      <c r="I121" s="26">
        <v>1.4285714285714286</v>
      </c>
      <c r="J121" s="26">
        <v>5.3474482135195736</v>
      </c>
      <c r="K121" s="27" t="e">
        <v>#VALUE!</v>
      </c>
      <c r="L121" s="42"/>
      <c r="M121" s="37">
        <v>7100000000</v>
      </c>
      <c r="N121" s="43"/>
      <c r="O121" s="44">
        <v>4</v>
      </c>
      <c r="P121" s="41"/>
      <c r="Q121" s="31">
        <v>6.9909999999999997</v>
      </c>
      <c r="R121" s="32">
        <v>7</v>
      </c>
      <c r="S121" s="4">
        <v>1000000000</v>
      </c>
      <c r="T121" s="33">
        <v>6991000000</v>
      </c>
    </row>
    <row r="124" spans="1:20" ht="12" thickBot="1" x14ac:dyDescent="0.25"/>
    <row r="125" spans="1:20" ht="13.5" thickBot="1" x14ac:dyDescent="0.25">
      <c r="A125" s="53"/>
      <c r="B125" s="5"/>
      <c r="C125" s="46" t="s">
        <v>0</v>
      </c>
      <c r="D125" s="5"/>
      <c r="E125" s="47"/>
      <c r="F125" s="9" t="s">
        <v>1</v>
      </c>
      <c r="G125" s="10"/>
      <c r="H125" s="47"/>
      <c r="I125" s="11"/>
      <c r="J125" s="12"/>
      <c r="K125" s="12"/>
      <c r="L125" s="1"/>
      <c r="M125" s="51"/>
      <c r="N125" s="1"/>
      <c r="O125" s="50"/>
      <c r="P125" s="1"/>
      <c r="Q125" s="1"/>
      <c r="R125" s="1"/>
      <c r="S125" s="1"/>
      <c r="T125" s="1"/>
    </row>
    <row r="126" spans="1:20" ht="12.75" x14ac:dyDescent="0.2">
      <c r="A126" s="53"/>
      <c r="B126" s="7"/>
      <c r="C126" s="16"/>
      <c r="D126" s="13"/>
      <c r="E126" s="8"/>
      <c r="F126" s="6"/>
      <c r="G126" s="6"/>
      <c r="H126" s="8"/>
      <c r="I126" s="14"/>
      <c r="J126" s="15"/>
      <c r="K126" s="15"/>
      <c r="L126" s="34"/>
      <c r="M126" s="51"/>
      <c r="N126" s="1"/>
      <c r="O126" s="1"/>
      <c r="P126" s="1"/>
      <c r="Q126" s="1"/>
      <c r="R126" s="1"/>
      <c r="S126" s="1"/>
      <c r="T126" s="1"/>
    </row>
    <row r="127" spans="1:20" ht="12.75" x14ac:dyDescent="0.2">
      <c r="A127" s="53"/>
      <c r="B127" s="7"/>
      <c r="C127" s="14"/>
      <c r="D127" s="16"/>
      <c r="E127" s="8"/>
      <c r="F127" s="6" t="s">
        <v>0</v>
      </c>
      <c r="G127" s="6" t="s">
        <v>0</v>
      </c>
      <c r="H127" s="8"/>
      <c r="I127" s="15"/>
      <c r="J127" s="15"/>
      <c r="K127" s="15"/>
      <c r="L127" s="34"/>
      <c r="M127" s="51"/>
      <c r="N127" s="1"/>
      <c r="O127" s="1"/>
      <c r="P127" s="1"/>
      <c r="Q127" s="1"/>
      <c r="R127" s="1"/>
      <c r="S127" s="1"/>
      <c r="T127" s="1"/>
    </row>
    <row r="128" spans="1:20" ht="13.5" thickBot="1" x14ac:dyDescent="0.25">
      <c r="A128" s="54"/>
      <c r="B128" s="17" t="s">
        <v>2</v>
      </c>
      <c r="C128" s="48" t="s">
        <v>3</v>
      </c>
      <c r="D128" s="19" t="s">
        <v>2</v>
      </c>
      <c r="E128" s="20" t="s">
        <v>4</v>
      </c>
      <c r="F128" s="18" t="s">
        <v>3</v>
      </c>
      <c r="G128" s="18" t="s">
        <v>3</v>
      </c>
      <c r="H128" s="20" t="s">
        <v>5</v>
      </c>
      <c r="I128" s="18" t="s">
        <v>6</v>
      </c>
      <c r="J128" s="18" t="s">
        <v>6</v>
      </c>
      <c r="K128" s="21">
        <v>0.15</v>
      </c>
      <c r="L128" s="1"/>
      <c r="M128" s="51"/>
      <c r="N128" s="2" t="s">
        <v>7</v>
      </c>
      <c r="O128" s="1"/>
      <c r="P128" s="1"/>
      <c r="Q128" s="1"/>
      <c r="R128" s="1"/>
      <c r="S128" s="1"/>
      <c r="T128" s="1"/>
    </row>
    <row r="129" spans="1:20" ht="14.25" thickTop="1" thickBot="1" x14ac:dyDescent="0.25">
      <c r="A129" s="49"/>
      <c r="B129" s="22">
        <v>1</v>
      </c>
      <c r="C129" s="23">
        <v>700</v>
      </c>
      <c r="D129" s="24" t="s">
        <v>8</v>
      </c>
      <c r="E129" s="25">
        <v>241.9</v>
      </c>
      <c r="F129" s="113">
        <f>N129</f>
        <v>110</v>
      </c>
      <c r="G129" s="23">
        <v>800</v>
      </c>
      <c r="H129" s="23">
        <v>696</v>
      </c>
      <c r="I129" s="26">
        <v>-0.5714285714285714</v>
      </c>
      <c r="J129" s="26">
        <v>6.1325471296595815</v>
      </c>
      <c r="K129" s="27" t="e">
        <v>#VALUE!</v>
      </c>
      <c r="L129" s="28"/>
      <c r="M129" s="29">
        <v>800</v>
      </c>
      <c r="N129" s="45">
        <v>110</v>
      </c>
      <c r="O129" s="30">
        <v>5</v>
      </c>
      <c r="P129" s="3">
        <v>0</v>
      </c>
      <c r="Q129" s="31">
        <v>0.82040000000000002</v>
      </c>
      <c r="R129" s="32">
        <v>0.7</v>
      </c>
      <c r="S129" s="1">
        <v>1000</v>
      </c>
      <c r="T129" s="33">
        <v>820.4</v>
      </c>
    </row>
    <row r="130" spans="1:20" ht="13.5" thickBot="1" x14ac:dyDescent="0.25">
      <c r="A130" s="52" t="s">
        <v>13</v>
      </c>
      <c r="B130" s="22">
        <v>2</v>
      </c>
      <c r="C130" s="23">
        <v>7000</v>
      </c>
      <c r="D130" s="24" t="s">
        <v>8</v>
      </c>
      <c r="E130" s="25">
        <v>77.400000000000006</v>
      </c>
      <c r="F130" s="114"/>
      <c r="G130" s="23">
        <v>7200</v>
      </c>
      <c r="H130" s="23">
        <v>7096</v>
      </c>
      <c r="I130" s="26">
        <v>1.3714285714285714</v>
      </c>
      <c r="J130" s="26">
        <v>6.2846712843275423</v>
      </c>
      <c r="K130" s="27" t="e">
        <v>#VALUE!</v>
      </c>
      <c r="L130" s="34"/>
      <c r="M130" s="29">
        <v>7200</v>
      </c>
      <c r="N130" s="35">
        <v>104</v>
      </c>
      <c r="O130" s="36">
        <v>5</v>
      </c>
      <c r="P130" s="3">
        <v>0</v>
      </c>
      <c r="Q130" s="31">
        <v>6.9059999999999997</v>
      </c>
      <c r="R130" s="32">
        <v>7</v>
      </c>
      <c r="S130" s="1">
        <v>1000</v>
      </c>
      <c r="T130" s="33">
        <v>6906</v>
      </c>
    </row>
    <row r="131" spans="1:20" ht="13.5" thickBot="1" x14ac:dyDescent="0.25">
      <c r="A131" s="3"/>
      <c r="B131" s="22">
        <v>3</v>
      </c>
      <c r="C131" s="23">
        <v>70000</v>
      </c>
      <c r="D131" s="24" t="s">
        <v>10</v>
      </c>
      <c r="E131" s="25">
        <v>167.3</v>
      </c>
      <c r="F131" s="115"/>
      <c r="G131" s="23">
        <v>70100</v>
      </c>
      <c r="H131" s="23">
        <v>69996</v>
      </c>
      <c r="I131" s="26">
        <v>-5.7142857142857143E-3</v>
      </c>
      <c r="J131" s="26">
        <v>5.100004081630571</v>
      </c>
      <c r="K131" s="27" t="e">
        <v>#VALUE!</v>
      </c>
      <c r="L131" s="34"/>
      <c r="M131" s="37">
        <v>70100</v>
      </c>
      <c r="N131" s="35">
        <v>104</v>
      </c>
      <c r="O131" s="36">
        <v>4</v>
      </c>
      <c r="P131" s="38">
        <v>0</v>
      </c>
      <c r="Q131" s="31">
        <v>70.12</v>
      </c>
      <c r="R131" s="32">
        <v>70</v>
      </c>
      <c r="S131" s="1">
        <v>1000</v>
      </c>
      <c r="T131" s="33">
        <v>70120</v>
      </c>
    </row>
    <row r="132" spans="1:20" ht="13.5" thickBot="1" x14ac:dyDescent="0.25">
      <c r="A132" s="3"/>
      <c r="B132" s="22">
        <v>4</v>
      </c>
      <c r="C132" s="23">
        <v>700000</v>
      </c>
      <c r="D132" s="39" t="s">
        <v>10</v>
      </c>
      <c r="E132" s="25">
        <v>53.7</v>
      </c>
      <c r="F132" s="27"/>
      <c r="G132" s="23">
        <v>690000</v>
      </c>
      <c r="H132" s="27"/>
      <c r="I132" s="26">
        <v>-1.4285714285714286</v>
      </c>
      <c r="J132" s="26">
        <v>5.3474482135195736</v>
      </c>
      <c r="K132" s="27" t="e">
        <v>#VALUE!</v>
      </c>
      <c r="L132" s="34"/>
      <c r="M132" s="37">
        <v>690000</v>
      </c>
      <c r="N132" s="40"/>
      <c r="O132" s="36">
        <v>4</v>
      </c>
      <c r="P132" s="3">
        <v>5</v>
      </c>
      <c r="Q132" s="31">
        <v>0.70920000000000005</v>
      </c>
      <c r="R132" s="32">
        <v>0.7</v>
      </c>
      <c r="S132" s="1">
        <v>1000000</v>
      </c>
      <c r="T132" s="33">
        <v>709200</v>
      </c>
    </row>
    <row r="133" spans="1:20" ht="13.5" thickBot="1" x14ac:dyDescent="0.25">
      <c r="A133" s="3"/>
      <c r="B133" s="22">
        <v>5</v>
      </c>
      <c r="C133" s="23">
        <v>7000000</v>
      </c>
      <c r="D133" s="39" t="s">
        <v>11</v>
      </c>
      <c r="E133" s="25">
        <v>364.1</v>
      </c>
      <c r="F133" s="27"/>
      <c r="G133" s="23">
        <v>6900000</v>
      </c>
      <c r="H133" s="27"/>
      <c r="I133" s="26">
        <v>-1.4285714285714286</v>
      </c>
      <c r="J133" s="26">
        <v>5.3474482135195736</v>
      </c>
      <c r="K133" s="27" t="e">
        <v>#VALUE!</v>
      </c>
      <c r="L133" s="34"/>
      <c r="M133" s="37">
        <v>6900000</v>
      </c>
      <c r="N133" s="40"/>
      <c r="O133" s="36">
        <v>4</v>
      </c>
      <c r="P133" s="3"/>
      <c r="Q133" s="31">
        <v>7.5069999999999997</v>
      </c>
      <c r="R133" s="32">
        <v>7</v>
      </c>
      <c r="S133" s="1">
        <v>1000000</v>
      </c>
      <c r="T133" s="33">
        <v>7507000</v>
      </c>
    </row>
    <row r="134" spans="1:20" ht="13.5" thickBot="1" x14ac:dyDescent="0.25">
      <c r="A134" s="3"/>
      <c r="B134" s="22">
        <v>6</v>
      </c>
      <c r="C134" s="23">
        <v>70000000</v>
      </c>
      <c r="D134" s="39" t="s">
        <v>11</v>
      </c>
      <c r="E134" s="25">
        <v>116.7</v>
      </c>
      <c r="F134" s="27"/>
      <c r="G134" s="23">
        <v>68000000</v>
      </c>
      <c r="H134" s="27"/>
      <c r="I134" s="26">
        <v>-2.8571428571428572</v>
      </c>
      <c r="J134" s="26">
        <v>6.015614438310072</v>
      </c>
      <c r="K134" s="27" t="e">
        <v>#VALUE!</v>
      </c>
      <c r="L134" s="34"/>
      <c r="M134" s="37">
        <v>68000000</v>
      </c>
      <c r="N134" s="40"/>
      <c r="O134" s="36">
        <v>4</v>
      </c>
      <c r="P134" s="3"/>
      <c r="Q134" s="31">
        <v>71.7</v>
      </c>
      <c r="R134" s="32">
        <v>70</v>
      </c>
      <c r="S134" s="1">
        <v>1000000</v>
      </c>
      <c r="T134" s="33">
        <v>71700000</v>
      </c>
    </row>
    <row r="135" spans="1:20" ht="13.5" thickBot="1" x14ac:dyDescent="0.25">
      <c r="A135" s="3"/>
      <c r="B135" s="22">
        <v>7</v>
      </c>
      <c r="C135" s="23">
        <v>700000000</v>
      </c>
      <c r="D135" s="39" t="s">
        <v>12</v>
      </c>
      <c r="E135" s="25">
        <v>240.9</v>
      </c>
      <c r="F135" s="27"/>
      <c r="G135" s="23">
        <v>700000000</v>
      </c>
      <c r="H135" s="27"/>
      <c r="I135" s="26">
        <v>0</v>
      </c>
      <c r="J135" s="26">
        <v>5.0999999999999996</v>
      </c>
      <c r="K135" s="27" t="e">
        <v>#VALUE!</v>
      </c>
      <c r="L135" s="34"/>
      <c r="M135" s="37">
        <v>700000000</v>
      </c>
      <c r="N135" s="40"/>
      <c r="O135" s="36">
        <v>4</v>
      </c>
      <c r="P135" s="3"/>
      <c r="Q135" s="31">
        <v>0.70069999999999999</v>
      </c>
      <c r="R135" s="32">
        <v>0.7</v>
      </c>
      <c r="S135" s="4">
        <v>1000000000</v>
      </c>
      <c r="T135" s="33">
        <v>700700000</v>
      </c>
    </row>
    <row r="136" spans="1:20" ht="13.5" thickBot="1" x14ac:dyDescent="0.25">
      <c r="A136" s="41"/>
      <c r="B136" s="22">
        <v>8</v>
      </c>
      <c r="C136" s="23">
        <v>7000000000</v>
      </c>
      <c r="D136" s="39" t="s">
        <v>12</v>
      </c>
      <c r="E136" s="25">
        <v>77.5</v>
      </c>
      <c r="F136" s="27"/>
      <c r="G136" s="23">
        <v>7100000000</v>
      </c>
      <c r="H136" s="27"/>
      <c r="I136" s="26">
        <v>1.4285714285714286</v>
      </c>
      <c r="J136" s="26">
        <v>5.3474482135195736</v>
      </c>
      <c r="K136" s="27" t="e">
        <v>#VALUE!</v>
      </c>
      <c r="L136" s="42"/>
      <c r="M136" s="37">
        <v>7100000000</v>
      </c>
      <c r="N136" s="43"/>
      <c r="O136" s="44">
        <v>4</v>
      </c>
      <c r="P136" s="41"/>
      <c r="Q136" s="31">
        <v>6.9909999999999997</v>
      </c>
      <c r="R136" s="32">
        <v>7</v>
      </c>
      <c r="S136" s="4">
        <v>1000000000</v>
      </c>
      <c r="T136" s="33">
        <v>6991000000</v>
      </c>
    </row>
    <row r="139" spans="1:20" ht="12" thickBot="1" x14ac:dyDescent="0.25"/>
    <row r="140" spans="1:20" ht="13.5" thickBot="1" x14ac:dyDescent="0.25">
      <c r="A140" s="53"/>
      <c r="B140" s="5"/>
      <c r="C140" s="46" t="s">
        <v>0</v>
      </c>
      <c r="D140" s="5"/>
      <c r="E140" s="47"/>
      <c r="F140" s="9" t="s">
        <v>1</v>
      </c>
      <c r="G140" s="10"/>
      <c r="H140" s="47"/>
      <c r="I140" s="11"/>
      <c r="J140" s="12"/>
      <c r="K140" s="12"/>
      <c r="L140" s="1"/>
      <c r="M140" s="51"/>
      <c r="N140" s="1"/>
      <c r="O140" s="50"/>
      <c r="P140" s="1"/>
      <c r="Q140" s="1"/>
      <c r="R140" s="1"/>
      <c r="S140" s="1"/>
      <c r="T140" s="1"/>
    </row>
    <row r="141" spans="1:20" ht="12.75" x14ac:dyDescent="0.2">
      <c r="A141" s="53"/>
      <c r="B141" s="7"/>
      <c r="C141" s="16"/>
      <c r="D141" s="13"/>
      <c r="E141" s="8"/>
      <c r="F141" s="6"/>
      <c r="G141" s="6"/>
      <c r="H141" s="8"/>
      <c r="I141" s="14"/>
      <c r="J141" s="15"/>
      <c r="K141" s="15"/>
      <c r="L141" s="34"/>
      <c r="M141" s="51"/>
      <c r="N141" s="1"/>
      <c r="O141" s="1"/>
      <c r="P141" s="1"/>
      <c r="Q141" s="1"/>
      <c r="R141" s="1"/>
      <c r="S141" s="1"/>
      <c r="T141" s="1"/>
    </row>
    <row r="142" spans="1:20" ht="12.75" x14ac:dyDescent="0.2">
      <c r="A142" s="53"/>
      <c r="B142" s="7"/>
      <c r="C142" s="14"/>
      <c r="D142" s="16"/>
      <c r="E142" s="8"/>
      <c r="F142" s="6" t="s">
        <v>0</v>
      </c>
      <c r="G142" s="6" t="s">
        <v>0</v>
      </c>
      <c r="H142" s="8"/>
      <c r="I142" s="15"/>
      <c r="J142" s="15"/>
      <c r="K142" s="15"/>
      <c r="L142" s="34"/>
      <c r="M142" s="51"/>
      <c r="N142" s="1"/>
      <c r="O142" s="1"/>
      <c r="P142" s="1"/>
      <c r="Q142" s="1"/>
      <c r="R142" s="1"/>
      <c r="S142" s="1"/>
      <c r="T142" s="1"/>
    </row>
    <row r="143" spans="1:20" ht="13.5" thickBot="1" x14ac:dyDescent="0.25">
      <c r="A143" s="54"/>
      <c r="B143" s="17" t="s">
        <v>2</v>
      </c>
      <c r="C143" s="48" t="s">
        <v>3</v>
      </c>
      <c r="D143" s="19" t="s">
        <v>2</v>
      </c>
      <c r="E143" s="20" t="s">
        <v>4</v>
      </c>
      <c r="F143" s="18" t="s">
        <v>3</v>
      </c>
      <c r="G143" s="18" t="s">
        <v>3</v>
      </c>
      <c r="H143" s="20" t="s">
        <v>5</v>
      </c>
      <c r="I143" s="18" t="s">
        <v>6</v>
      </c>
      <c r="J143" s="18" t="s">
        <v>6</v>
      </c>
      <c r="K143" s="21">
        <v>0.15</v>
      </c>
      <c r="L143" s="1"/>
      <c r="M143" s="51"/>
      <c r="N143" s="2" t="s">
        <v>7</v>
      </c>
      <c r="O143" s="1"/>
      <c r="P143" s="1"/>
      <c r="Q143" s="1"/>
      <c r="R143" s="1"/>
      <c r="S143" s="1"/>
      <c r="T143" s="1"/>
    </row>
    <row r="144" spans="1:20" ht="14.25" thickTop="1" thickBot="1" x14ac:dyDescent="0.25">
      <c r="A144" s="49"/>
      <c r="B144" s="22">
        <v>1</v>
      </c>
      <c r="C144" s="23">
        <v>700</v>
      </c>
      <c r="D144" s="24" t="s">
        <v>8</v>
      </c>
      <c r="E144" s="25">
        <v>241.9</v>
      </c>
      <c r="F144" s="113">
        <f>N144</f>
        <v>110</v>
      </c>
      <c r="G144" s="23">
        <v>800</v>
      </c>
      <c r="H144" s="23">
        <v>696</v>
      </c>
      <c r="I144" s="26">
        <v>-0.5714285714285714</v>
      </c>
      <c r="J144" s="26">
        <v>6.1325471296595815</v>
      </c>
      <c r="K144" s="27" t="e">
        <v>#VALUE!</v>
      </c>
      <c r="L144" s="28"/>
      <c r="M144" s="29">
        <v>800</v>
      </c>
      <c r="N144" s="45">
        <v>110</v>
      </c>
      <c r="O144" s="30">
        <v>5</v>
      </c>
      <c r="P144" s="3">
        <v>0</v>
      </c>
      <c r="Q144" s="31">
        <v>0.82040000000000002</v>
      </c>
      <c r="R144" s="32">
        <v>0.7</v>
      </c>
      <c r="S144" s="1">
        <v>1000</v>
      </c>
      <c r="T144" s="33">
        <v>820.4</v>
      </c>
    </row>
    <row r="145" spans="1:20" ht="13.5" thickBot="1" x14ac:dyDescent="0.25">
      <c r="A145" s="52" t="s">
        <v>13</v>
      </c>
      <c r="B145" s="22">
        <v>2</v>
      </c>
      <c r="C145" s="23">
        <v>7000</v>
      </c>
      <c r="D145" s="24" t="s">
        <v>8</v>
      </c>
      <c r="E145" s="25">
        <v>77.400000000000006</v>
      </c>
      <c r="F145" s="114"/>
      <c r="G145" s="23">
        <v>7200</v>
      </c>
      <c r="H145" s="23">
        <v>7096</v>
      </c>
      <c r="I145" s="26">
        <v>1.3714285714285714</v>
      </c>
      <c r="J145" s="26">
        <v>6.2846712843275423</v>
      </c>
      <c r="K145" s="27" t="e">
        <v>#VALUE!</v>
      </c>
      <c r="L145" s="34"/>
      <c r="M145" s="29">
        <v>7200</v>
      </c>
      <c r="N145" s="35">
        <v>104</v>
      </c>
      <c r="O145" s="36">
        <v>5</v>
      </c>
      <c r="P145" s="3">
        <v>0</v>
      </c>
      <c r="Q145" s="31">
        <v>6.9059999999999997</v>
      </c>
      <c r="R145" s="32">
        <v>7</v>
      </c>
      <c r="S145" s="1">
        <v>1000</v>
      </c>
      <c r="T145" s="33">
        <v>6906</v>
      </c>
    </row>
    <row r="146" spans="1:20" ht="13.5" thickBot="1" x14ac:dyDescent="0.25">
      <c r="A146" s="3"/>
      <c r="B146" s="22">
        <v>3</v>
      </c>
      <c r="C146" s="23">
        <v>70000</v>
      </c>
      <c r="D146" s="24" t="s">
        <v>10</v>
      </c>
      <c r="E146" s="25">
        <v>167.3</v>
      </c>
      <c r="F146" s="115"/>
      <c r="G146" s="23">
        <v>70100</v>
      </c>
      <c r="H146" s="23">
        <v>69996</v>
      </c>
      <c r="I146" s="26">
        <v>-5.7142857142857143E-3</v>
      </c>
      <c r="J146" s="26">
        <v>5.100004081630571</v>
      </c>
      <c r="K146" s="27" t="e">
        <v>#VALUE!</v>
      </c>
      <c r="L146" s="34"/>
      <c r="M146" s="37">
        <v>70100</v>
      </c>
      <c r="N146" s="35">
        <v>104</v>
      </c>
      <c r="O146" s="36">
        <v>4</v>
      </c>
      <c r="P146" s="38">
        <v>0</v>
      </c>
      <c r="Q146" s="31">
        <v>70.12</v>
      </c>
      <c r="R146" s="32">
        <v>70</v>
      </c>
      <c r="S146" s="1">
        <v>1000</v>
      </c>
      <c r="T146" s="33">
        <v>70120</v>
      </c>
    </row>
    <row r="147" spans="1:20" ht="13.5" thickBot="1" x14ac:dyDescent="0.25">
      <c r="A147" s="3"/>
      <c r="B147" s="22">
        <v>4</v>
      </c>
      <c r="C147" s="23">
        <v>700000</v>
      </c>
      <c r="D147" s="39" t="s">
        <v>10</v>
      </c>
      <c r="E147" s="25">
        <v>53.7</v>
      </c>
      <c r="F147" s="27"/>
      <c r="G147" s="23">
        <v>690000</v>
      </c>
      <c r="H147" s="27"/>
      <c r="I147" s="26">
        <v>-1.4285714285714286</v>
      </c>
      <c r="J147" s="26">
        <v>5.3474482135195736</v>
      </c>
      <c r="K147" s="27" t="e">
        <v>#VALUE!</v>
      </c>
      <c r="L147" s="34"/>
      <c r="M147" s="37">
        <v>690000</v>
      </c>
      <c r="N147" s="40"/>
      <c r="O147" s="36">
        <v>4</v>
      </c>
      <c r="P147" s="3">
        <v>5</v>
      </c>
      <c r="Q147" s="31">
        <v>0.70920000000000005</v>
      </c>
      <c r="R147" s="32">
        <v>0.7</v>
      </c>
      <c r="S147" s="1">
        <v>1000000</v>
      </c>
      <c r="T147" s="33">
        <v>709200</v>
      </c>
    </row>
    <row r="148" spans="1:20" ht="13.5" thickBot="1" x14ac:dyDescent="0.25">
      <c r="A148" s="3"/>
      <c r="B148" s="22">
        <v>5</v>
      </c>
      <c r="C148" s="23">
        <v>7000000</v>
      </c>
      <c r="D148" s="39" t="s">
        <v>11</v>
      </c>
      <c r="E148" s="25">
        <v>364.1</v>
      </c>
      <c r="F148" s="27"/>
      <c r="G148" s="23">
        <v>6900000</v>
      </c>
      <c r="H148" s="27"/>
      <c r="I148" s="26">
        <v>-1.4285714285714286</v>
      </c>
      <c r="J148" s="26">
        <v>5.3474482135195736</v>
      </c>
      <c r="K148" s="27" t="e">
        <v>#VALUE!</v>
      </c>
      <c r="L148" s="34"/>
      <c r="M148" s="37">
        <v>6900000</v>
      </c>
      <c r="N148" s="40"/>
      <c r="O148" s="36">
        <v>4</v>
      </c>
      <c r="P148" s="3"/>
      <c r="Q148" s="31">
        <v>7.5069999999999997</v>
      </c>
      <c r="R148" s="32">
        <v>7</v>
      </c>
      <c r="S148" s="1">
        <v>1000000</v>
      </c>
      <c r="T148" s="33">
        <v>7507000</v>
      </c>
    </row>
    <row r="149" spans="1:20" ht="13.5" thickBot="1" x14ac:dyDescent="0.25">
      <c r="A149" s="3"/>
      <c r="B149" s="22">
        <v>6</v>
      </c>
      <c r="C149" s="23">
        <v>70000000</v>
      </c>
      <c r="D149" s="39" t="s">
        <v>11</v>
      </c>
      <c r="E149" s="25">
        <v>116.7</v>
      </c>
      <c r="F149" s="27"/>
      <c r="G149" s="23">
        <v>68000000</v>
      </c>
      <c r="H149" s="27"/>
      <c r="I149" s="26">
        <v>-2.8571428571428572</v>
      </c>
      <c r="J149" s="26">
        <v>6.015614438310072</v>
      </c>
      <c r="K149" s="27" t="e">
        <v>#VALUE!</v>
      </c>
      <c r="L149" s="34"/>
      <c r="M149" s="37">
        <v>68000000</v>
      </c>
      <c r="N149" s="40"/>
      <c r="O149" s="36">
        <v>4</v>
      </c>
      <c r="P149" s="3"/>
      <c r="Q149" s="31">
        <v>71.7</v>
      </c>
      <c r="R149" s="32">
        <v>70</v>
      </c>
      <c r="S149" s="1">
        <v>1000000</v>
      </c>
      <c r="T149" s="33">
        <v>71700000</v>
      </c>
    </row>
    <row r="150" spans="1:20" ht="13.5" thickBot="1" x14ac:dyDescent="0.25">
      <c r="A150" s="3"/>
      <c r="B150" s="22">
        <v>7</v>
      </c>
      <c r="C150" s="23">
        <v>700000000</v>
      </c>
      <c r="D150" s="39" t="s">
        <v>12</v>
      </c>
      <c r="E150" s="25">
        <v>240.9</v>
      </c>
      <c r="F150" s="27"/>
      <c r="G150" s="23">
        <v>700000000</v>
      </c>
      <c r="H150" s="27"/>
      <c r="I150" s="26">
        <v>0</v>
      </c>
      <c r="J150" s="26">
        <v>5.0999999999999996</v>
      </c>
      <c r="K150" s="27" t="e">
        <v>#VALUE!</v>
      </c>
      <c r="L150" s="34"/>
      <c r="M150" s="37">
        <v>700000000</v>
      </c>
      <c r="N150" s="40"/>
      <c r="O150" s="36">
        <v>4</v>
      </c>
      <c r="P150" s="3"/>
      <c r="Q150" s="31">
        <v>0.70069999999999999</v>
      </c>
      <c r="R150" s="32">
        <v>0.7</v>
      </c>
      <c r="S150" s="4">
        <v>1000000000</v>
      </c>
      <c r="T150" s="33">
        <v>700700000</v>
      </c>
    </row>
    <row r="151" spans="1:20" ht="13.5" thickBot="1" x14ac:dyDescent="0.25">
      <c r="A151" s="41"/>
      <c r="B151" s="22">
        <v>8</v>
      </c>
      <c r="C151" s="23">
        <v>7000000000</v>
      </c>
      <c r="D151" s="39" t="s">
        <v>12</v>
      </c>
      <c r="E151" s="25">
        <v>77.5</v>
      </c>
      <c r="F151" s="27"/>
      <c r="G151" s="23">
        <v>7100000000</v>
      </c>
      <c r="H151" s="27"/>
      <c r="I151" s="26">
        <v>1.4285714285714286</v>
      </c>
      <c r="J151" s="26">
        <v>5.3474482135195736</v>
      </c>
      <c r="K151" s="27" t="e">
        <v>#VALUE!</v>
      </c>
      <c r="L151" s="42"/>
      <c r="M151" s="37">
        <v>7100000000</v>
      </c>
      <c r="N151" s="43"/>
      <c r="O151" s="44">
        <v>4</v>
      </c>
      <c r="P151" s="41"/>
      <c r="Q151" s="31">
        <v>6.9909999999999997</v>
      </c>
      <c r="R151" s="32">
        <v>7</v>
      </c>
      <c r="S151" s="4">
        <v>1000000000</v>
      </c>
      <c r="T151" s="33">
        <v>6991000000</v>
      </c>
    </row>
    <row r="154" spans="1:20" ht="12" thickBot="1" x14ac:dyDescent="0.25"/>
    <row r="155" spans="1:20" ht="13.5" thickBot="1" x14ac:dyDescent="0.25">
      <c r="A155" s="53"/>
      <c r="B155" s="5"/>
      <c r="C155" s="46" t="s">
        <v>0</v>
      </c>
      <c r="D155" s="5"/>
      <c r="E155" s="47"/>
      <c r="F155" s="9" t="s">
        <v>1</v>
      </c>
      <c r="G155" s="10"/>
      <c r="H155" s="47"/>
      <c r="I155" s="11"/>
      <c r="J155" s="12"/>
      <c r="K155" s="12"/>
      <c r="L155" s="1"/>
      <c r="M155" s="51"/>
      <c r="N155" s="1"/>
      <c r="O155" s="50"/>
      <c r="P155" s="1"/>
      <c r="Q155" s="1"/>
      <c r="R155" s="1"/>
      <c r="S155" s="1"/>
      <c r="T155" s="1"/>
    </row>
    <row r="156" spans="1:20" ht="12.75" x14ac:dyDescent="0.2">
      <c r="A156" s="53"/>
      <c r="B156" s="7"/>
      <c r="C156" s="16"/>
      <c r="D156" s="13"/>
      <c r="E156" s="8"/>
      <c r="F156" s="6"/>
      <c r="G156" s="6"/>
      <c r="H156" s="8"/>
      <c r="I156" s="14"/>
      <c r="J156" s="15"/>
      <c r="K156" s="15"/>
      <c r="L156" s="34"/>
      <c r="M156" s="51"/>
      <c r="N156" s="1"/>
      <c r="O156" s="1"/>
      <c r="P156" s="1"/>
      <c r="Q156" s="1"/>
      <c r="R156" s="1"/>
      <c r="S156" s="1"/>
      <c r="T156" s="1"/>
    </row>
    <row r="157" spans="1:20" ht="12.75" x14ac:dyDescent="0.2">
      <c r="A157" s="53"/>
      <c r="B157" s="7"/>
      <c r="C157" s="14"/>
      <c r="D157" s="16"/>
      <c r="E157" s="8"/>
      <c r="F157" s="6" t="s">
        <v>0</v>
      </c>
      <c r="G157" s="6" t="s">
        <v>0</v>
      </c>
      <c r="H157" s="8"/>
      <c r="I157" s="15"/>
      <c r="J157" s="15"/>
      <c r="K157" s="15"/>
      <c r="L157" s="34"/>
      <c r="M157" s="51"/>
      <c r="N157" s="1"/>
      <c r="O157" s="1"/>
      <c r="P157" s="1"/>
      <c r="Q157" s="1"/>
      <c r="R157" s="1"/>
      <c r="S157" s="1"/>
      <c r="T157" s="1"/>
    </row>
    <row r="158" spans="1:20" ht="13.5" thickBot="1" x14ac:dyDescent="0.25">
      <c r="A158" s="54"/>
      <c r="B158" s="17" t="s">
        <v>2</v>
      </c>
      <c r="C158" s="48" t="s">
        <v>3</v>
      </c>
      <c r="D158" s="19" t="s">
        <v>2</v>
      </c>
      <c r="E158" s="20" t="s">
        <v>4</v>
      </c>
      <c r="F158" s="18" t="s">
        <v>3</v>
      </c>
      <c r="G158" s="18" t="s">
        <v>3</v>
      </c>
      <c r="H158" s="20" t="s">
        <v>5</v>
      </c>
      <c r="I158" s="18" t="s">
        <v>6</v>
      </c>
      <c r="J158" s="18" t="s">
        <v>6</v>
      </c>
      <c r="K158" s="21">
        <v>0.15</v>
      </c>
      <c r="L158" s="1"/>
      <c r="M158" s="51"/>
      <c r="N158" s="2" t="s">
        <v>7</v>
      </c>
      <c r="O158" s="1"/>
      <c r="P158" s="1"/>
      <c r="Q158" s="1"/>
      <c r="R158" s="1"/>
      <c r="S158" s="1"/>
      <c r="T158" s="1"/>
    </row>
    <row r="159" spans="1:20" ht="14.25" thickTop="1" thickBot="1" x14ac:dyDescent="0.25">
      <c r="A159" s="49"/>
      <c r="B159" s="22">
        <v>1</v>
      </c>
      <c r="C159" s="23">
        <v>700</v>
      </c>
      <c r="D159" s="24" t="s">
        <v>8</v>
      </c>
      <c r="E159" s="25">
        <v>241.9</v>
      </c>
      <c r="F159" s="113">
        <f>N159</f>
        <v>100</v>
      </c>
      <c r="G159" s="23">
        <v>800</v>
      </c>
      <c r="H159" s="23">
        <v>696</v>
      </c>
      <c r="I159" s="26">
        <v>-0.5714285714285714</v>
      </c>
      <c r="J159" s="26">
        <v>6.1325471296595815</v>
      </c>
      <c r="K159" s="27" t="e">
        <v>#VALUE!</v>
      </c>
      <c r="L159" s="28"/>
      <c r="M159" s="29">
        <v>800</v>
      </c>
      <c r="N159" s="45">
        <v>100</v>
      </c>
      <c r="O159" s="30">
        <v>5</v>
      </c>
      <c r="P159" s="3">
        <v>0</v>
      </c>
      <c r="Q159" s="31">
        <v>0.82040000000000002</v>
      </c>
      <c r="R159" s="32">
        <v>0.7</v>
      </c>
      <c r="S159" s="1">
        <v>1000</v>
      </c>
      <c r="T159" s="33">
        <v>820.4</v>
      </c>
    </row>
    <row r="160" spans="1:20" ht="13.5" thickBot="1" x14ac:dyDescent="0.25">
      <c r="A160" s="52" t="s">
        <v>14</v>
      </c>
      <c r="B160" s="22">
        <v>2</v>
      </c>
      <c r="C160" s="23">
        <v>7000</v>
      </c>
      <c r="D160" s="24" t="s">
        <v>8</v>
      </c>
      <c r="E160" s="25">
        <v>77.400000000000006</v>
      </c>
      <c r="F160" s="114"/>
      <c r="G160" s="23">
        <v>7200</v>
      </c>
      <c r="H160" s="23">
        <v>7096</v>
      </c>
      <c r="I160" s="26">
        <v>1.3714285714285714</v>
      </c>
      <c r="J160" s="26">
        <v>6.2846712843275423</v>
      </c>
      <c r="K160" s="27" t="e">
        <v>#VALUE!</v>
      </c>
      <c r="L160" s="34"/>
      <c r="M160" s="29">
        <v>7200</v>
      </c>
      <c r="N160" s="35">
        <v>104</v>
      </c>
      <c r="O160" s="36">
        <v>5</v>
      </c>
      <c r="P160" s="3">
        <v>0</v>
      </c>
      <c r="Q160" s="31">
        <v>6.9059999999999997</v>
      </c>
      <c r="R160" s="32">
        <v>7</v>
      </c>
      <c r="S160" s="1">
        <v>1000</v>
      </c>
      <c r="T160" s="33">
        <v>6906</v>
      </c>
    </row>
    <row r="161" spans="1:20" ht="13.5" thickBot="1" x14ac:dyDescent="0.25">
      <c r="A161" s="3"/>
      <c r="B161" s="22">
        <v>3</v>
      </c>
      <c r="C161" s="23">
        <v>70000</v>
      </c>
      <c r="D161" s="24" t="s">
        <v>10</v>
      </c>
      <c r="E161" s="25">
        <v>167.3</v>
      </c>
      <c r="F161" s="115"/>
      <c r="G161" s="23">
        <v>70100</v>
      </c>
      <c r="H161" s="23">
        <v>69996</v>
      </c>
      <c r="I161" s="26">
        <v>-5.7142857142857143E-3</v>
      </c>
      <c r="J161" s="26">
        <v>5.100004081630571</v>
      </c>
      <c r="K161" s="27" t="e">
        <v>#VALUE!</v>
      </c>
      <c r="L161" s="34"/>
      <c r="M161" s="37">
        <v>70100</v>
      </c>
      <c r="N161" s="35">
        <v>104</v>
      </c>
      <c r="O161" s="36">
        <v>4</v>
      </c>
      <c r="P161" s="38">
        <v>0</v>
      </c>
      <c r="Q161" s="31">
        <v>70.12</v>
      </c>
      <c r="R161" s="32">
        <v>70</v>
      </c>
      <c r="S161" s="1">
        <v>1000</v>
      </c>
      <c r="T161" s="33">
        <v>70120</v>
      </c>
    </row>
    <row r="162" spans="1:20" ht="13.5" thickBot="1" x14ac:dyDescent="0.25">
      <c r="A162" s="3"/>
      <c r="B162" s="22">
        <v>4</v>
      </c>
      <c r="C162" s="23">
        <v>700000</v>
      </c>
      <c r="D162" s="39" t="s">
        <v>10</v>
      </c>
      <c r="E162" s="25">
        <v>53.7</v>
      </c>
      <c r="F162" s="27"/>
      <c r="G162" s="23">
        <v>690000</v>
      </c>
      <c r="H162" s="27"/>
      <c r="I162" s="26">
        <v>-1.4285714285714286</v>
      </c>
      <c r="J162" s="26">
        <v>5.3474482135195736</v>
      </c>
      <c r="K162" s="27" t="e">
        <v>#VALUE!</v>
      </c>
      <c r="L162" s="34"/>
      <c r="M162" s="37">
        <v>690000</v>
      </c>
      <c r="N162" s="40"/>
      <c r="O162" s="36">
        <v>4</v>
      </c>
      <c r="P162" s="3">
        <v>5</v>
      </c>
      <c r="Q162" s="31">
        <v>0.70920000000000005</v>
      </c>
      <c r="R162" s="32">
        <v>0.7</v>
      </c>
      <c r="S162" s="1">
        <v>1000000</v>
      </c>
      <c r="T162" s="33">
        <v>709200</v>
      </c>
    </row>
    <row r="163" spans="1:20" ht="13.5" thickBot="1" x14ac:dyDescent="0.25">
      <c r="A163" s="3"/>
      <c r="B163" s="22">
        <v>5</v>
      </c>
      <c r="C163" s="23">
        <v>7000000</v>
      </c>
      <c r="D163" s="39" t="s">
        <v>11</v>
      </c>
      <c r="E163" s="25">
        <v>364.1</v>
      </c>
      <c r="F163" s="27"/>
      <c r="G163" s="23">
        <v>6900000</v>
      </c>
      <c r="H163" s="27"/>
      <c r="I163" s="26">
        <v>-1.4285714285714286</v>
      </c>
      <c r="J163" s="26">
        <v>5.3474482135195736</v>
      </c>
      <c r="K163" s="27" t="e">
        <v>#VALUE!</v>
      </c>
      <c r="L163" s="34"/>
      <c r="M163" s="37">
        <v>6900000</v>
      </c>
      <c r="N163" s="40"/>
      <c r="O163" s="36">
        <v>4</v>
      </c>
      <c r="P163" s="3"/>
      <c r="Q163" s="31">
        <v>7.5069999999999997</v>
      </c>
      <c r="R163" s="32">
        <v>7</v>
      </c>
      <c r="S163" s="1">
        <v>1000000</v>
      </c>
      <c r="T163" s="33">
        <v>7507000</v>
      </c>
    </row>
    <row r="164" spans="1:20" ht="13.5" thickBot="1" x14ac:dyDescent="0.25">
      <c r="A164" s="3"/>
      <c r="B164" s="22">
        <v>6</v>
      </c>
      <c r="C164" s="23">
        <v>70000000</v>
      </c>
      <c r="D164" s="39" t="s">
        <v>11</v>
      </c>
      <c r="E164" s="25">
        <v>116.7</v>
      </c>
      <c r="F164" s="27"/>
      <c r="G164" s="23">
        <v>68000000</v>
      </c>
      <c r="H164" s="27"/>
      <c r="I164" s="26">
        <v>-2.8571428571428572</v>
      </c>
      <c r="J164" s="26">
        <v>6.015614438310072</v>
      </c>
      <c r="K164" s="27" t="e">
        <v>#VALUE!</v>
      </c>
      <c r="L164" s="34"/>
      <c r="M164" s="37">
        <v>68000000</v>
      </c>
      <c r="N164" s="40"/>
      <c r="O164" s="36">
        <v>4</v>
      </c>
      <c r="P164" s="3"/>
      <c r="Q164" s="31">
        <v>71.7</v>
      </c>
      <c r="R164" s="32">
        <v>70</v>
      </c>
      <c r="S164" s="1">
        <v>1000000</v>
      </c>
      <c r="T164" s="33">
        <v>71700000</v>
      </c>
    </row>
    <row r="165" spans="1:20" ht="13.5" thickBot="1" x14ac:dyDescent="0.25">
      <c r="A165" s="3"/>
      <c r="B165" s="22">
        <v>7</v>
      </c>
      <c r="C165" s="23">
        <v>700000000</v>
      </c>
      <c r="D165" s="39" t="s">
        <v>12</v>
      </c>
      <c r="E165" s="25">
        <v>240.9</v>
      </c>
      <c r="F165" s="27"/>
      <c r="G165" s="23">
        <v>700000000</v>
      </c>
      <c r="H165" s="27"/>
      <c r="I165" s="26">
        <v>0</v>
      </c>
      <c r="J165" s="26">
        <v>5.0999999999999996</v>
      </c>
      <c r="K165" s="27" t="e">
        <v>#VALUE!</v>
      </c>
      <c r="L165" s="34"/>
      <c r="M165" s="37">
        <v>700000000</v>
      </c>
      <c r="N165" s="40"/>
      <c r="O165" s="36">
        <v>4</v>
      </c>
      <c r="P165" s="3"/>
      <c r="Q165" s="31">
        <v>0.70069999999999999</v>
      </c>
      <c r="R165" s="32">
        <v>0.7</v>
      </c>
      <c r="S165" s="4">
        <v>1000000000</v>
      </c>
      <c r="T165" s="33">
        <v>700700000</v>
      </c>
    </row>
    <row r="166" spans="1:20" ht="13.5" thickBot="1" x14ac:dyDescent="0.25">
      <c r="A166" s="41"/>
      <c r="B166" s="22">
        <v>8</v>
      </c>
      <c r="C166" s="23">
        <v>7000000000</v>
      </c>
      <c r="D166" s="39" t="s">
        <v>12</v>
      </c>
      <c r="E166" s="25">
        <v>77.5</v>
      </c>
      <c r="F166" s="27"/>
      <c r="G166" s="23">
        <v>7100000000</v>
      </c>
      <c r="H166" s="27"/>
      <c r="I166" s="26">
        <v>1.4285714285714286</v>
      </c>
      <c r="J166" s="26">
        <v>5.3474482135195736</v>
      </c>
      <c r="K166" s="27" t="e">
        <v>#VALUE!</v>
      </c>
      <c r="L166" s="42"/>
      <c r="M166" s="37">
        <v>7100000000</v>
      </c>
      <c r="N166" s="43"/>
      <c r="O166" s="44">
        <v>4</v>
      </c>
      <c r="P166" s="41"/>
      <c r="Q166" s="31">
        <v>6.9909999999999997</v>
      </c>
      <c r="R166" s="32">
        <v>7</v>
      </c>
      <c r="S166" s="4">
        <v>1000000000</v>
      </c>
      <c r="T166" s="33">
        <v>6991000000</v>
      </c>
    </row>
    <row r="169" spans="1:20" ht="12" thickBot="1" x14ac:dyDescent="0.25"/>
    <row r="170" spans="1:20" ht="13.5" thickBot="1" x14ac:dyDescent="0.25">
      <c r="A170" s="53"/>
      <c r="B170" s="5"/>
      <c r="C170" s="46" t="s">
        <v>0</v>
      </c>
      <c r="D170" s="5"/>
      <c r="E170" s="47"/>
      <c r="F170" s="9" t="s">
        <v>1</v>
      </c>
      <c r="G170" s="10"/>
      <c r="H170" s="47"/>
      <c r="I170" s="11"/>
      <c r="J170" s="12"/>
      <c r="K170" s="12"/>
      <c r="L170" s="1"/>
      <c r="M170" s="51"/>
      <c r="N170" s="1"/>
      <c r="O170" s="50"/>
      <c r="P170" s="1"/>
      <c r="Q170" s="1"/>
      <c r="R170" s="1"/>
      <c r="S170" s="1"/>
      <c r="T170" s="1"/>
    </row>
    <row r="171" spans="1:20" ht="12.75" x14ac:dyDescent="0.2">
      <c r="A171" s="53"/>
      <c r="B171" s="7"/>
      <c r="C171" s="16"/>
      <c r="D171" s="13"/>
      <c r="E171" s="8"/>
      <c r="F171" s="6"/>
      <c r="G171" s="6"/>
      <c r="H171" s="8"/>
      <c r="I171" s="14"/>
      <c r="J171" s="15"/>
      <c r="K171" s="15"/>
      <c r="L171" s="34"/>
      <c r="M171" s="51"/>
      <c r="N171" s="1"/>
      <c r="O171" s="1"/>
      <c r="P171" s="1"/>
      <c r="Q171" s="1"/>
      <c r="R171" s="1"/>
      <c r="S171" s="1"/>
      <c r="T171" s="1"/>
    </row>
    <row r="172" spans="1:20" ht="12.75" x14ac:dyDescent="0.2">
      <c r="A172" s="53"/>
      <c r="B172" s="7"/>
      <c r="C172" s="14"/>
      <c r="D172" s="16"/>
      <c r="E172" s="8"/>
      <c r="F172" s="6" t="s">
        <v>0</v>
      </c>
      <c r="G172" s="6" t="s">
        <v>0</v>
      </c>
      <c r="H172" s="8"/>
      <c r="I172" s="15"/>
      <c r="J172" s="15"/>
      <c r="K172" s="15"/>
      <c r="L172" s="34"/>
      <c r="M172" s="51"/>
      <c r="N172" s="1"/>
      <c r="O172" s="1"/>
      <c r="P172" s="1"/>
      <c r="Q172" s="1"/>
      <c r="R172" s="1"/>
      <c r="S172" s="1"/>
      <c r="T172" s="1"/>
    </row>
    <row r="173" spans="1:20" ht="13.5" thickBot="1" x14ac:dyDescent="0.25">
      <c r="A173" s="54"/>
      <c r="B173" s="17" t="s">
        <v>2</v>
      </c>
      <c r="C173" s="48" t="s">
        <v>3</v>
      </c>
      <c r="D173" s="19" t="s">
        <v>2</v>
      </c>
      <c r="E173" s="20" t="s">
        <v>4</v>
      </c>
      <c r="F173" s="18" t="s">
        <v>3</v>
      </c>
      <c r="G173" s="18" t="s">
        <v>3</v>
      </c>
      <c r="H173" s="20" t="s">
        <v>5</v>
      </c>
      <c r="I173" s="18" t="s">
        <v>6</v>
      </c>
      <c r="J173" s="18" t="s">
        <v>6</v>
      </c>
      <c r="K173" s="21">
        <v>0.15</v>
      </c>
      <c r="L173" s="1"/>
      <c r="M173" s="51"/>
      <c r="N173" s="2" t="s">
        <v>7</v>
      </c>
      <c r="O173" s="1"/>
      <c r="P173" s="1"/>
      <c r="Q173" s="1"/>
      <c r="R173" s="1"/>
      <c r="S173" s="1"/>
      <c r="T173" s="1"/>
    </row>
    <row r="174" spans="1:20" ht="14.25" thickTop="1" thickBot="1" x14ac:dyDescent="0.25">
      <c r="A174" s="49"/>
      <c r="B174" s="22">
        <v>1</v>
      </c>
      <c r="C174" s="23">
        <v>700</v>
      </c>
      <c r="D174" s="24" t="s">
        <v>8</v>
      </c>
      <c r="E174" s="25">
        <v>241.9</v>
      </c>
      <c r="F174" s="113">
        <f>N174</f>
        <v>110</v>
      </c>
      <c r="G174" s="23">
        <v>800</v>
      </c>
      <c r="H174" s="23">
        <v>696</v>
      </c>
      <c r="I174" s="26">
        <v>-0.5714285714285714</v>
      </c>
      <c r="J174" s="26">
        <v>6.1325471296595815</v>
      </c>
      <c r="K174" s="27" t="e">
        <v>#VALUE!</v>
      </c>
      <c r="L174" s="28"/>
      <c r="M174" s="29">
        <v>800</v>
      </c>
      <c r="N174" s="45">
        <v>110</v>
      </c>
      <c r="O174" s="30">
        <v>5</v>
      </c>
      <c r="P174" s="3">
        <v>0</v>
      </c>
      <c r="Q174" s="31">
        <v>0.82040000000000002</v>
      </c>
      <c r="R174" s="32">
        <v>0.7</v>
      </c>
      <c r="S174" s="1">
        <v>1000</v>
      </c>
      <c r="T174" s="33">
        <v>820.4</v>
      </c>
    </row>
    <row r="175" spans="1:20" ht="13.5" thickBot="1" x14ac:dyDescent="0.25">
      <c r="A175" s="52" t="s">
        <v>13</v>
      </c>
      <c r="B175" s="22">
        <v>2</v>
      </c>
      <c r="C175" s="23">
        <v>7000</v>
      </c>
      <c r="D175" s="24" t="s">
        <v>8</v>
      </c>
      <c r="E175" s="25">
        <v>77.400000000000006</v>
      </c>
      <c r="F175" s="114"/>
      <c r="G175" s="23">
        <v>7200</v>
      </c>
      <c r="H175" s="23">
        <v>7096</v>
      </c>
      <c r="I175" s="26">
        <v>1.3714285714285714</v>
      </c>
      <c r="J175" s="26">
        <v>6.2846712843275423</v>
      </c>
      <c r="K175" s="27" t="e">
        <v>#VALUE!</v>
      </c>
      <c r="L175" s="34"/>
      <c r="M175" s="29">
        <v>7200</v>
      </c>
      <c r="N175" s="35">
        <v>104</v>
      </c>
      <c r="O175" s="36">
        <v>5</v>
      </c>
      <c r="P175" s="3">
        <v>0</v>
      </c>
      <c r="Q175" s="31">
        <v>6.9059999999999997</v>
      </c>
      <c r="R175" s="32">
        <v>7</v>
      </c>
      <c r="S175" s="1">
        <v>1000</v>
      </c>
      <c r="T175" s="33">
        <v>6906</v>
      </c>
    </row>
    <row r="176" spans="1:20" ht="13.5" thickBot="1" x14ac:dyDescent="0.25">
      <c r="A176" s="3"/>
      <c r="B176" s="22">
        <v>3</v>
      </c>
      <c r="C176" s="23">
        <v>70000</v>
      </c>
      <c r="D176" s="24" t="s">
        <v>10</v>
      </c>
      <c r="E176" s="25">
        <v>167.3</v>
      </c>
      <c r="F176" s="115"/>
      <c r="G176" s="23">
        <v>70100</v>
      </c>
      <c r="H176" s="23">
        <v>69996</v>
      </c>
      <c r="I176" s="26">
        <v>-5.7142857142857143E-3</v>
      </c>
      <c r="J176" s="26">
        <v>5.100004081630571</v>
      </c>
      <c r="K176" s="27" t="e">
        <v>#VALUE!</v>
      </c>
      <c r="L176" s="34"/>
      <c r="M176" s="37">
        <v>70100</v>
      </c>
      <c r="N176" s="35">
        <v>104</v>
      </c>
      <c r="O176" s="36">
        <v>4</v>
      </c>
      <c r="P176" s="38">
        <v>0</v>
      </c>
      <c r="Q176" s="31">
        <v>70.12</v>
      </c>
      <c r="R176" s="32">
        <v>70</v>
      </c>
      <c r="S176" s="1">
        <v>1000</v>
      </c>
      <c r="T176" s="33">
        <v>70120</v>
      </c>
    </row>
    <row r="177" spans="1:20" ht="13.5" thickBot="1" x14ac:dyDescent="0.25">
      <c r="A177" s="3"/>
      <c r="B177" s="22">
        <v>4</v>
      </c>
      <c r="C177" s="23">
        <v>700000</v>
      </c>
      <c r="D177" s="39" t="s">
        <v>10</v>
      </c>
      <c r="E177" s="25">
        <v>53.7</v>
      </c>
      <c r="F177" s="27"/>
      <c r="G177" s="23">
        <v>690000</v>
      </c>
      <c r="H177" s="27"/>
      <c r="I177" s="26">
        <v>-1.4285714285714286</v>
      </c>
      <c r="J177" s="26">
        <v>5.3474482135195736</v>
      </c>
      <c r="K177" s="27" t="e">
        <v>#VALUE!</v>
      </c>
      <c r="L177" s="34"/>
      <c r="M177" s="37">
        <v>690000</v>
      </c>
      <c r="N177" s="40"/>
      <c r="O177" s="36">
        <v>4</v>
      </c>
      <c r="P177" s="3">
        <v>5</v>
      </c>
      <c r="Q177" s="31">
        <v>0.70920000000000005</v>
      </c>
      <c r="R177" s="32">
        <v>0.7</v>
      </c>
      <c r="S177" s="1">
        <v>1000000</v>
      </c>
      <c r="T177" s="33">
        <v>709200</v>
      </c>
    </row>
    <row r="178" spans="1:20" ht="13.5" thickBot="1" x14ac:dyDescent="0.25">
      <c r="A178" s="3"/>
      <c r="B178" s="22">
        <v>5</v>
      </c>
      <c r="C178" s="23">
        <v>7000000</v>
      </c>
      <c r="D178" s="39" t="s">
        <v>11</v>
      </c>
      <c r="E178" s="25">
        <v>364.1</v>
      </c>
      <c r="F178" s="27"/>
      <c r="G178" s="23">
        <v>6900000</v>
      </c>
      <c r="H178" s="27"/>
      <c r="I178" s="26">
        <v>-1.4285714285714286</v>
      </c>
      <c r="J178" s="26">
        <v>5.3474482135195736</v>
      </c>
      <c r="K178" s="27" t="e">
        <v>#VALUE!</v>
      </c>
      <c r="L178" s="34"/>
      <c r="M178" s="37">
        <v>6900000</v>
      </c>
      <c r="N178" s="40"/>
      <c r="O178" s="36">
        <v>4</v>
      </c>
      <c r="P178" s="3"/>
      <c r="Q178" s="31">
        <v>7.5069999999999997</v>
      </c>
      <c r="R178" s="32">
        <v>7</v>
      </c>
      <c r="S178" s="1">
        <v>1000000</v>
      </c>
      <c r="T178" s="33">
        <v>7507000</v>
      </c>
    </row>
    <row r="179" spans="1:20" ht="13.5" thickBot="1" x14ac:dyDescent="0.25">
      <c r="A179" s="3"/>
      <c r="B179" s="22">
        <v>6</v>
      </c>
      <c r="C179" s="23">
        <v>70000000</v>
      </c>
      <c r="D179" s="39" t="s">
        <v>11</v>
      </c>
      <c r="E179" s="25">
        <v>116.7</v>
      </c>
      <c r="F179" s="27"/>
      <c r="G179" s="23">
        <v>68000000</v>
      </c>
      <c r="H179" s="27"/>
      <c r="I179" s="26">
        <v>-2.8571428571428572</v>
      </c>
      <c r="J179" s="26">
        <v>6.015614438310072</v>
      </c>
      <c r="K179" s="27" t="e">
        <v>#VALUE!</v>
      </c>
      <c r="L179" s="34"/>
      <c r="M179" s="37">
        <v>68000000</v>
      </c>
      <c r="N179" s="40"/>
      <c r="O179" s="36">
        <v>4</v>
      </c>
      <c r="P179" s="3"/>
      <c r="Q179" s="31">
        <v>71.7</v>
      </c>
      <c r="R179" s="32">
        <v>70</v>
      </c>
      <c r="S179" s="1">
        <v>1000000</v>
      </c>
      <c r="T179" s="33">
        <v>71700000</v>
      </c>
    </row>
    <row r="180" spans="1:20" ht="13.5" thickBot="1" x14ac:dyDescent="0.25">
      <c r="A180" s="3"/>
      <c r="B180" s="22">
        <v>7</v>
      </c>
      <c r="C180" s="23">
        <v>700000000</v>
      </c>
      <c r="D180" s="39" t="s">
        <v>12</v>
      </c>
      <c r="E180" s="25">
        <v>240.9</v>
      </c>
      <c r="F180" s="27"/>
      <c r="G180" s="23">
        <v>700000000</v>
      </c>
      <c r="H180" s="27"/>
      <c r="I180" s="26">
        <v>0</v>
      </c>
      <c r="J180" s="26">
        <v>5.0999999999999996</v>
      </c>
      <c r="K180" s="27" t="e">
        <v>#VALUE!</v>
      </c>
      <c r="L180" s="34"/>
      <c r="M180" s="37">
        <v>700000000</v>
      </c>
      <c r="N180" s="40"/>
      <c r="O180" s="36">
        <v>4</v>
      </c>
      <c r="P180" s="3"/>
      <c r="Q180" s="31">
        <v>0.70069999999999999</v>
      </c>
      <c r="R180" s="32">
        <v>0.7</v>
      </c>
      <c r="S180" s="4">
        <v>1000000000</v>
      </c>
      <c r="T180" s="33">
        <v>700700000</v>
      </c>
    </row>
    <row r="181" spans="1:20" ht="13.5" thickBot="1" x14ac:dyDescent="0.25">
      <c r="A181" s="41"/>
      <c r="B181" s="22">
        <v>8</v>
      </c>
      <c r="C181" s="23">
        <v>7000000000</v>
      </c>
      <c r="D181" s="39" t="s">
        <v>12</v>
      </c>
      <c r="E181" s="25">
        <v>77.5</v>
      </c>
      <c r="F181" s="27"/>
      <c r="G181" s="23">
        <v>7100000000</v>
      </c>
      <c r="H181" s="27"/>
      <c r="I181" s="26">
        <v>1.4285714285714286</v>
      </c>
      <c r="J181" s="26">
        <v>5.3474482135195736</v>
      </c>
      <c r="K181" s="27" t="e">
        <v>#VALUE!</v>
      </c>
      <c r="L181" s="42"/>
      <c r="M181" s="37">
        <v>7100000000</v>
      </c>
      <c r="N181" s="43"/>
      <c r="O181" s="44">
        <v>4</v>
      </c>
      <c r="P181" s="41"/>
      <c r="Q181" s="31">
        <v>6.9909999999999997</v>
      </c>
      <c r="R181" s="32">
        <v>7</v>
      </c>
      <c r="S181" s="4">
        <v>1000000000</v>
      </c>
      <c r="T181" s="33">
        <v>6991000000</v>
      </c>
    </row>
    <row r="184" spans="1:20" ht="12" thickBot="1" x14ac:dyDescent="0.25"/>
    <row r="185" spans="1:20" ht="13.5" thickBot="1" x14ac:dyDescent="0.25">
      <c r="A185" s="53"/>
      <c r="B185" s="5"/>
      <c r="C185" s="46" t="s">
        <v>0</v>
      </c>
      <c r="D185" s="5"/>
      <c r="E185" s="47"/>
      <c r="F185" s="9" t="s">
        <v>1</v>
      </c>
      <c r="G185" s="10"/>
      <c r="H185" s="47"/>
      <c r="I185" s="11"/>
      <c r="J185" s="12"/>
      <c r="K185" s="12"/>
      <c r="L185" s="1"/>
      <c r="M185" s="51"/>
      <c r="N185" s="1"/>
      <c r="O185" s="50"/>
      <c r="P185" s="1"/>
      <c r="Q185" s="1"/>
      <c r="R185" s="1"/>
      <c r="S185" s="1"/>
      <c r="T185" s="1"/>
    </row>
    <row r="186" spans="1:20" ht="12.75" x14ac:dyDescent="0.2">
      <c r="A186" s="53"/>
      <c r="B186" s="7"/>
      <c r="C186" s="16"/>
      <c r="D186" s="13"/>
      <c r="E186" s="8"/>
      <c r="F186" s="6"/>
      <c r="G186" s="6"/>
      <c r="H186" s="8"/>
      <c r="I186" s="14"/>
      <c r="J186" s="15"/>
      <c r="K186" s="15"/>
      <c r="L186" s="34"/>
      <c r="M186" s="51"/>
      <c r="N186" s="1"/>
      <c r="O186" s="1"/>
      <c r="P186" s="1"/>
      <c r="Q186" s="1"/>
      <c r="R186" s="1"/>
      <c r="S186" s="1"/>
      <c r="T186" s="1"/>
    </row>
    <row r="187" spans="1:20" ht="12.75" x14ac:dyDescent="0.2">
      <c r="A187" s="53"/>
      <c r="B187" s="7"/>
      <c r="C187" s="14"/>
      <c r="D187" s="16"/>
      <c r="E187" s="8"/>
      <c r="F187" s="6" t="s">
        <v>0</v>
      </c>
      <c r="G187" s="6" t="s">
        <v>0</v>
      </c>
      <c r="H187" s="8"/>
      <c r="I187" s="15"/>
      <c r="J187" s="15"/>
      <c r="K187" s="15"/>
      <c r="L187" s="34"/>
      <c r="M187" s="51"/>
      <c r="N187" s="1"/>
      <c r="O187" s="1"/>
      <c r="P187" s="1"/>
      <c r="Q187" s="1"/>
      <c r="R187" s="1"/>
      <c r="S187" s="1"/>
      <c r="T187" s="1"/>
    </row>
    <row r="188" spans="1:20" ht="13.5" thickBot="1" x14ac:dyDescent="0.25">
      <c r="A188" s="54"/>
      <c r="B188" s="17" t="s">
        <v>2</v>
      </c>
      <c r="C188" s="48" t="s">
        <v>3</v>
      </c>
      <c r="D188" s="19" t="s">
        <v>2</v>
      </c>
      <c r="E188" s="20" t="s">
        <v>4</v>
      </c>
      <c r="F188" s="18" t="s">
        <v>3</v>
      </c>
      <c r="G188" s="18" t="s">
        <v>3</v>
      </c>
      <c r="H188" s="20" t="s">
        <v>5</v>
      </c>
      <c r="I188" s="18" t="s">
        <v>6</v>
      </c>
      <c r="J188" s="18" t="s">
        <v>6</v>
      </c>
      <c r="K188" s="21">
        <v>0.15</v>
      </c>
      <c r="L188" s="1"/>
      <c r="M188" s="51"/>
      <c r="N188" s="2" t="s">
        <v>7</v>
      </c>
      <c r="O188" s="1"/>
      <c r="P188" s="1"/>
      <c r="Q188" s="1"/>
      <c r="R188" s="1"/>
      <c r="S188" s="1"/>
      <c r="T188" s="1"/>
    </row>
    <row r="189" spans="1:20" ht="14.25" thickTop="1" thickBot="1" x14ac:dyDescent="0.25">
      <c r="A189" s="49"/>
      <c r="B189" s="22">
        <v>1</v>
      </c>
      <c r="C189" s="23">
        <v>700</v>
      </c>
      <c r="D189" s="24" t="s">
        <v>8</v>
      </c>
      <c r="E189" s="25">
        <v>241.9</v>
      </c>
      <c r="F189" s="113">
        <f>N189</f>
        <v>110</v>
      </c>
      <c r="G189" s="23">
        <v>800</v>
      </c>
      <c r="H189" s="23">
        <v>696</v>
      </c>
      <c r="I189" s="26">
        <v>-0.5714285714285714</v>
      </c>
      <c r="J189" s="26">
        <v>6.1325471296595815</v>
      </c>
      <c r="K189" s="27" t="e">
        <v>#VALUE!</v>
      </c>
      <c r="L189" s="28"/>
      <c r="M189" s="29">
        <v>800</v>
      </c>
      <c r="N189" s="45">
        <v>110</v>
      </c>
      <c r="O189" s="30">
        <v>5</v>
      </c>
      <c r="P189" s="3">
        <v>0</v>
      </c>
      <c r="Q189" s="31">
        <v>0.82040000000000002</v>
      </c>
      <c r="R189" s="32">
        <v>0.7</v>
      </c>
      <c r="S189" s="1">
        <v>1000</v>
      </c>
      <c r="T189" s="33">
        <v>820.4</v>
      </c>
    </row>
    <row r="190" spans="1:20" ht="13.5" thickBot="1" x14ac:dyDescent="0.25">
      <c r="A190" s="52" t="s">
        <v>13</v>
      </c>
      <c r="B190" s="22">
        <v>2</v>
      </c>
      <c r="C190" s="23">
        <v>7000</v>
      </c>
      <c r="D190" s="24" t="s">
        <v>8</v>
      </c>
      <c r="E190" s="25">
        <v>77.400000000000006</v>
      </c>
      <c r="F190" s="114"/>
      <c r="G190" s="23">
        <v>7200</v>
      </c>
      <c r="H190" s="23">
        <v>7096</v>
      </c>
      <c r="I190" s="26">
        <v>1.3714285714285714</v>
      </c>
      <c r="J190" s="26">
        <v>6.2846712843275423</v>
      </c>
      <c r="K190" s="27" t="e">
        <v>#VALUE!</v>
      </c>
      <c r="L190" s="34"/>
      <c r="M190" s="29">
        <v>7200</v>
      </c>
      <c r="N190" s="35">
        <v>104</v>
      </c>
      <c r="O190" s="36">
        <v>5</v>
      </c>
      <c r="P190" s="3">
        <v>0</v>
      </c>
      <c r="Q190" s="31">
        <v>6.9059999999999997</v>
      </c>
      <c r="R190" s="32">
        <v>7</v>
      </c>
      <c r="S190" s="1">
        <v>1000</v>
      </c>
      <c r="T190" s="33">
        <v>6906</v>
      </c>
    </row>
    <row r="191" spans="1:20" ht="13.5" thickBot="1" x14ac:dyDescent="0.25">
      <c r="A191" s="3"/>
      <c r="B191" s="22">
        <v>3</v>
      </c>
      <c r="C191" s="23">
        <v>70000</v>
      </c>
      <c r="D191" s="24" t="s">
        <v>10</v>
      </c>
      <c r="E191" s="25">
        <v>167.3</v>
      </c>
      <c r="F191" s="115"/>
      <c r="G191" s="23">
        <v>70100</v>
      </c>
      <c r="H191" s="23">
        <v>69996</v>
      </c>
      <c r="I191" s="26">
        <v>-5.7142857142857143E-3</v>
      </c>
      <c r="J191" s="26">
        <v>5.100004081630571</v>
      </c>
      <c r="K191" s="27" t="e">
        <v>#VALUE!</v>
      </c>
      <c r="L191" s="34"/>
      <c r="M191" s="37">
        <v>70100</v>
      </c>
      <c r="N191" s="35">
        <v>104</v>
      </c>
      <c r="O191" s="36">
        <v>4</v>
      </c>
      <c r="P191" s="38">
        <v>0</v>
      </c>
      <c r="Q191" s="31">
        <v>70.12</v>
      </c>
      <c r="R191" s="32">
        <v>70</v>
      </c>
      <c r="S191" s="1">
        <v>1000</v>
      </c>
      <c r="T191" s="33">
        <v>70120</v>
      </c>
    </row>
    <row r="192" spans="1:20" ht="13.5" thickBot="1" x14ac:dyDescent="0.25">
      <c r="A192" s="3"/>
      <c r="B192" s="22">
        <v>4</v>
      </c>
      <c r="C192" s="23">
        <v>700000</v>
      </c>
      <c r="D192" s="39" t="s">
        <v>10</v>
      </c>
      <c r="E192" s="25">
        <v>53.7</v>
      </c>
      <c r="F192" s="27"/>
      <c r="G192" s="23">
        <v>690000</v>
      </c>
      <c r="H192" s="27"/>
      <c r="I192" s="26">
        <v>-1.4285714285714286</v>
      </c>
      <c r="J192" s="26">
        <v>5.3474482135195736</v>
      </c>
      <c r="K192" s="27" t="e">
        <v>#VALUE!</v>
      </c>
      <c r="L192" s="34"/>
      <c r="M192" s="37">
        <v>690000</v>
      </c>
      <c r="N192" s="40"/>
      <c r="O192" s="36">
        <v>4</v>
      </c>
      <c r="P192" s="3">
        <v>5</v>
      </c>
      <c r="Q192" s="31">
        <v>0.70920000000000005</v>
      </c>
      <c r="R192" s="32">
        <v>0.7</v>
      </c>
      <c r="S192" s="1">
        <v>1000000</v>
      </c>
      <c r="T192" s="33">
        <v>709200</v>
      </c>
    </row>
    <row r="193" spans="1:20" ht="13.5" thickBot="1" x14ac:dyDescent="0.25">
      <c r="A193" s="3"/>
      <c r="B193" s="22">
        <v>5</v>
      </c>
      <c r="C193" s="23">
        <v>7000000</v>
      </c>
      <c r="D193" s="39" t="s">
        <v>11</v>
      </c>
      <c r="E193" s="25">
        <v>364.1</v>
      </c>
      <c r="F193" s="27"/>
      <c r="G193" s="23">
        <v>6900000</v>
      </c>
      <c r="H193" s="27"/>
      <c r="I193" s="26">
        <v>-1.4285714285714286</v>
      </c>
      <c r="J193" s="26">
        <v>5.3474482135195736</v>
      </c>
      <c r="K193" s="27" t="e">
        <v>#VALUE!</v>
      </c>
      <c r="L193" s="34"/>
      <c r="M193" s="37">
        <v>6900000</v>
      </c>
      <c r="N193" s="40"/>
      <c r="O193" s="36">
        <v>4</v>
      </c>
      <c r="P193" s="3"/>
      <c r="Q193" s="31">
        <v>7.5069999999999997</v>
      </c>
      <c r="R193" s="32">
        <v>7</v>
      </c>
      <c r="S193" s="1">
        <v>1000000</v>
      </c>
      <c r="T193" s="33">
        <v>7507000</v>
      </c>
    </row>
    <row r="194" spans="1:20" ht="13.5" thickBot="1" x14ac:dyDescent="0.25">
      <c r="A194" s="3"/>
      <c r="B194" s="22">
        <v>6</v>
      </c>
      <c r="C194" s="23">
        <v>70000000</v>
      </c>
      <c r="D194" s="39" t="s">
        <v>11</v>
      </c>
      <c r="E194" s="25">
        <v>116.7</v>
      </c>
      <c r="F194" s="27"/>
      <c r="G194" s="23">
        <v>68000000</v>
      </c>
      <c r="H194" s="27"/>
      <c r="I194" s="26">
        <v>-2.8571428571428572</v>
      </c>
      <c r="J194" s="26">
        <v>6.015614438310072</v>
      </c>
      <c r="K194" s="27" t="e">
        <v>#VALUE!</v>
      </c>
      <c r="L194" s="34"/>
      <c r="M194" s="37">
        <v>68000000</v>
      </c>
      <c r="N194" s="40"/>
      <c r="O194" s="36">
        <v>4</v>
      </c>
      <c r="P194" s="3"/>
      <c r="Q194" s="31">
        <v>71.7</v>
      </c>
      <c r="R194" s="32">
        <v>70</v>
      </c>
      <c r="S194" s="1">
        <v>1000000</v>
      </c>
      <c r="T194" s="33">
        <v>71700000</v>
      </c>
    </row>
    <row r="195" spans="1:20" ht="13.5" thickBot="1" x14ac:dyDescent="0.25">
      <c r="A195" s="3"/>
      <c r="B195" s="22">
        <v>7</v>
      </c>
      <c r="C195" s="23">
        <v>700000000</v>
      </c>
      <c r="D195" s="39" t="s">
        <v>12</v>
      </c>
      <c r="E195" s="25">
        <v>240.9</v>
      </c>
      <c r="F195" s="27"/>
      <c r="G195" s="23">
        <v>700000000</v>
      </c>
      <c r="H195" s="27"/>
      <c r="I195" s="26">
        <v>0</v>
      </c>
      <c r="J195" s="26">
        <v>5.0999999999999996</v>
      </c>
      <c r="K195" s="27" t="e">
        <v>#VALUE!</v>
      </c>
      <c r="L195" s="34"/>
      <c r="M195" s="37">
        <v>700000000</v>
      </c>
      <c r="N195" s="40"/>
      <c r="O195" s="36">
        <v>4</v>
      </c>
      <c r="P195" s="3"/>
      <c r="Q195" s="31">
        <v>0.70069999999999999</v>
      </c>
      <c r="R195" s="32">
        <v>0.7</v>
      </c>
      <c r="S195" s="4">
        <v>1000000000</v>
      </c>
      <c r="T195" s="33">
        <v>700700000</v>
      </c>
    </row>
    <row r="196" spans="1:20" ht="13.5" thickBot="1" x14ac:dyDescent="0.25">
      <c r="A196" s="41"/>
      <c r="B196" s="22">
        <v>8</v>
      </c>
      <c r="C196" s="23">
        <v>7000000000</v>
      </c>
      <c r="D196" s="39" t="s">
        <v>12</v>
      </c>
      <c r="E196" s="25">
        <v>77.5</v>
      </c>
      <c r="F196" s="27"/>
      <c r="G196" s="23">
        <v>7100000000</v>
      </c>
      <c r="H196" s="27"/>
      <c r="I196" s="26">
        <v>1.4285714285714286</v>
      </c>
      <c r="J196" s="26">
        <v>5.3474482135195736</v>
      </c>
      <c r="K196" s="27" t="e">
        <v>#VALUE!</v>
      </c>
      <c r="L196" s="42"/>
      <c r="M196" s="37">
        <v>7100000000</v>
      </c>
      <c r="N196" s="43"/>
      <c r="O196" s="44">
        <v>4</v>
      </c>
      <c r="P196" s="41"/>
      <c r="Q196" s="31">
        <v>6.9909999999999997</v>
      </c>
      <c r="R196" s="32">
        <v>7</v>
      </c>
      <c r="S196" s="4">
        <v>1000000000</v>
      </c>
      <c r="T196" s="33">
        <v>6991000000</v>
      </c>
    </row>
    <row r="199" spans="1:20" ht="12" thickBot="1" x14ac:dyDescent="0.25"/>
    <row r="200" spans="1:20" ht="13.5" thickBot="1" x14ac:dyDescent="0.25">
      <c r="A200" s="53"/>
      <c r="B200" s="5"/>
      <c r="C200" s="46" t="s">
        <v>0</v>
      </c>
      <c r="D200" s="5"/>
      <c r="E200" s="47"/>
      <c r="F200" s="9" t="s">
        <v>1</v>
      </c>
      <c r="G200" s="10"/>
      <c r="H200" s="47"/>
      <c r="I200" s="11"/>
      <c r="J200" s="12"/>
      <c r="K200" s="12"/>
      <c r="L200" s="1"/>
      <c r="M200" s="51"/>
      <c r="N200" s="1"/>
      <c r="O200" s="50"/>
      <c r="P200" s="1"/>
      <c r="Q200" s="1"/>
      <c r="R200" s="1"/>
      <c r="S200" s="1"/>
      <c r="T200" s="1"/>
    </row>
    <row r="201" spans="1:20" ht="12.75" x14ac:dyDescent="0.2">
      <c r="A201" s="53"/>
      <c r="B201" s="7"/>
      <c r="C201" s="16"/>
      <c r="D201" s="13"/>
      <c r="E201" s="8"/>
      <c r="F201" s="6"/>
      <c r="G201" s="6"/>
      <c r="H201" s="8"/>
      <c r="I201" s="14"/>
      <c r="J201" s="15"/>
      <c r="K201" s="15"/>
      <c r="L201" s="34"/>
      <c r="M201" s="51"/>
      <c r="N201" s="1"/>
      <c r="O201" s="1"/>
      <c r="P201" s="1"/>
      <c r="Q201" s="1"/>
      <c r="R201" s="1"/>
      <c r="S201" s="1"/>
      <c r="T201" s="1"/>
    </row>
    <row r="202" spans="1:20" ht="12.75" x14ac:dyDescent="0.2">
      <c r="A202" s="53"/>
      <c r="B202" s="7"/>
      <c r="C202" s="14"/>
      <c r="D202" s="16"/>
      <c r="E202" s="8"/>
      <c r="F202" s="6" t="s">
        <v>0</v>
      </c>
      <c r="G202" s="6" t="s">
        <v>0</v>
      </c>
      <c r="H202" s="8"/>
      <c r="I202" s="15"/>
      <c r="J202" s="15"/>
      <c r="K202" s="15"/>
      <c r="L202" s="34"/>
      <c r="M202" s="51"/>
      <c r="N202" s="1"/>
      <c r="O202" s="1"/>
      <c r="P202" s="1"/>
      <c r="Q202" s="1"/>
      <c r="R202" s="1"/>
      <c r="S202" s="1"/>
      <c r="T202" s="1"/>
    </row>
    <row r="203" spans="1:20" ht="13.5" thickBot="1" x14ac:dyDescent="0.25">
      <c r="A203" s="54"/>
      <c r="B203" s="17" t="s">
        <v>2</v>
      </c>
      <c r="C203" s="48" t="s">
        <v>3</v>
      </c>
      <c r="D203" s="19" t="s">
        <v>2</v>
      </c>
      <c r="E203" s="20" t="s">
        <v>4</v>
      </c>
      <c r="F203" s="18" t="s">
        <v>3</v>
      </c>
      <c r="G203" s="18" t="s">
        <v>3</v>
      </c>
      <c r="H203" s="20" t="s">
        <v>5</v>
      </c>
      <c r="I203" s="18" t="s">
        <v>6</v>
      </c>
      <c r="J203" s="18" t="s">
        <v>6</v>
      </c>
      <c r="K203" s="21">
        <v>0.15</v>
      </c>
      <c r="L203" s="1"/>
      <c r="M203" s="51"/>
      <c r="N203" s="2" t="s">
        <v>7</v>
      </c>
      <c r="O203" s="1"/>
      <c r="P203" s="1"/>
      <c r="Q203" s="1"/>
      <c r="R203" s="1"/>
      <c r="S203" s="1"/>
      <c r="T203" s="1"/>
    </row>
    <row r="204" spans="1:20" ht="14.25" thickTop="1" thickBot="1" x14ac:dyDescent="0.25">
      <c r="A204" s="49"/>
      <c r="B204" s="22">
        <v>1</v>
      </c>
      <c r="C204" s="23">
        <v>700</v>
      </c>
      <c r="D204" s="24" t="s">
        <v>8</v>
      </c>
      <c r="E204" s="25">
        <v>241.9</v>
      </c>
      <c r="F204" s="113">
        <f>N204</f>
        <v>96</v>
      </c>
      <c r="G204" s="23">
        <v>800</v>
      </c>
      <c r="H204" s="23">
        <v>696</v>
      </c>
      <c r="I204" s="26">
        <v>-0.5714285714285714</v>
      </c>
      <c r="J204" s="26">
        <v>6.1325471296595815</v>
      </c>
      <c r="K204" s="27" t="e">
        <v>#VALUE!</v>
      </c>
      <c r="L204" s="28"/>
      <c r="M204" s="29">
        <v>800</v>
      </c>
      <c r="N204" s="45">
        <v>96</v>
      </c>
      <c r="O204" s="30">
        <v>5</v>
      </c>
      <c r="P204" s="3">
        <v>0</v>
      </c>
      <c r="Q204" s="31">
        <v>0.82040000000000002</v>
      </c>
      <c r="R204" s="32">
        <v>0.7</v>
      </c>
      <c r="S204" s="1">
        <v>1000</v>
      </c>
      <c r="T204" s="33">
        <v>820.4</v>
      </c>
    </row>
    <row r="205" spans="1:20" ht="13.5" thickBot="1" x14ac:dyDescent="0.25">
      <c r="A205" s="52" t="s">
        <v>15</v>
      </c>
      <c r="B205" s="22">
        <v>2</v>
      </c>
      <c r="C205" s="23">
        <v>7000</v>
      </c>
      <c r="D205" s="24" t="s">
        <v>8</v>
      </c>
      <c r="E205" s="25">
        <v>77.400000000000006</v>
      </c>
      <c r="F205" s="114"/>
      <c r="G205" s="23">
        <v>7200</v>
      </c>
      <c r="H205" s="23">
        <v>7096</v>
      </c>
      <c r="I205" s="26">
        <v>1.3714285714285714</v>
      </c>
      <c r="J205" s="26">
        <v>6.2846712843275423</v>
      </c>
      <c r="K205" s="27" t="e">
        <v>#VALUE!</v>
      </c>
      <c r="L205" s="34"/>
      <c r="M205" s="29">
        <v>7200</v>
      </c>
      <c r="N205" s="35">
        <v>104</v>
      </c>
      <c r="O205" s="36">
        <v>5</v>
      </c>
      <c r="P205" s="3">
        <v>0</v>
      </c>
      <c r="Q205" s="31">
        <v>6.9059999999999997</v>
      </c>
      <c r="R205" s="32">
        <v>7.1</v>
      </c>
      <c r="S205" s="1">
        <v>1000</v>
      </c>
      <c r="T205" s="33">
        <v>6906</v>
      </c>
    </row>
    <row r="206" spans="1:20" ht="13.5" thickBot="1" x14ac:dyDescent="0.25">
      <c r="A206" s="3"/>
      <c r="B206" s="22">
        <v>3</v>
      </c>
      <c r="C206" s="23">
        <v>70000</v>
      </c>
      <c r="D206" s="24" t="s">
        <v>10</v>
      </c>
      <c r="E206" s="25">
        <v>167.3</v>
      </c>
      <c r="F206" s="115"/>
      <c r="G206" s="23">
        <v>70100</v>
      </c>
      <c r="H206" s="23">
        <v>69996</v>
      </c>
      <c r="I206" s="26">
        <v>-5.7142857142857143E-3</v>
      </c>
      <c r="J206" s="26">
        <v>5.100004081630571</v>
      </c>
      <c r="K206" s="27" t="e">
        <v>#VALUE!</v>
      </c>
      <c r="L206" s="34"/>
      <c r="M206" s="37">
        <v>70100</v>
      </c>
      <c r="N206" s="35">
        <v>104</v>
      </c>
      <c r="O206" s="36">
        <v>4</v>
      </c>
      <c r="P206" s="38">
        <v>0</v>
      </c>
      <c r="Q206" s="31">
        <v>70.12</v>
      </c>
      <c r="R206" s="32">
        <v>73</v>
      </c>
      <c r="S206" s="1">
        <v>1000</v>
      </c>
      <c r="T206" s="33">
        <v>70120</v>
      </c>
    </row>
    <row r="207" spans="1:20" ht="13.5" thickBot="1" x14ac:dyDescent="0.25">
      <c r="A207" s="3"/>
      <c r="B207" s="22">
        <v>4</v>
      </c>
      <c r="C207" s="23">
        <v>700000</v>
      </c>
      <c r="D207" s="39" t="s">
        <v>10</v>
      </c>
      <c r="E207" s="25">
        <v>53.7</v>
      </c>
      <c r="F207" s="27"/>
      <c r="G207" s="23">
        <v>690000</v>
      </c>
      <c r="H207" s="27"/>
      <c r="I207" s="26">
        <v>-1.4285714285714286</v>
      </c>
      <c r="J207" s="26">
        <v>5.3474482135195736</v>
      </c>
      <c r="K207" s="27" t="e">
        <v>#VALUE!</v>
      </c>
      <c r="L207" s="34"/>
      <c r="M207" s="37">
        <v>690000</v>
      </c>
      <c r="N207" s="40"/>
      <c r="O207" s="36">
        <v>4</v>
      </c>
      <c r="P207" s="3">
        <v>5</v>
      </c>
      <c r="Q207" s="31">
        <v>0.70920000000000005</v>
      </c>
      <c r="R207" s="32">
        <v>0.7</v>
      </c>
      <c r="S207" s="1">
        <v>1000000</v>
      </c>
      <c r="T207" s="33">
        <v>709200</v>
      </c>
    </row>
    <row r="208" spans="1:20" ht="13.5" thickBot="1" x14ac:dyDescent="0.25">
      <c r="A208" s="3"/>
      <c r="B208" s="22">
        <v>5</v>
      </c>
      <c r="C208" s="23">
        <v>7000000</v>
      </c>
      <c r="D208" s="39" t="s">
        <v>11</v>
      </c>
      <c r="E208" s="25">
        <v>364.1</v>
      </c>
      <c r="F208" s="27"/>
      <c r="G208" s="23">
        <v>6900000</v>
      </c>
      <c r="H208" s="27"/>
      <c r="I208" s="26">
        <v>-1.4285714285714286</v>
      </c>
      <c r="J208" s="26">
        <v>5.3474482135195736</v>
      </c>
      <c r="K208" s="27" t="e">
        <v>#VALUE!</v>
      </c>
      <c r="L208" s="34"/>
      <c r="M208" s="37">
        <v>6900000</v>
      </c>
      <c r="N208" s="40"/>
      <c r="O208" s="36">
        <v>4</v>
      </c>
      <c r="P208" s="3"/>
      <c r="Q208" s="31">
        <v>7.5069999999999997</v>
      </c>
      <c r="R208" s="32">
        <v>7.1</v>
      </c>
      <c r="S208" s="1">
        <v>1000000</v>
      </c>
      <c r="T208" s="33">
        <v>7507000</v>
      </c>
    </row>
    <row r="209" spans="1:20" ht="13.5" thickBot="1" x14ac:dyDescent="0.25">
      <c r="A209" s="3"/>
      <c r="B209" s="22">
        <v>6</v>
      </c>
      <c r="C209" s="23">
        <v>70000000</v>
      </c>
      <c r="D209" s="39" t="s">
        <v>11</v>
      </c>
      <c r="E209" s="25">
        <v>116.7</v>
      </c>
      <c r="F209" s="27"/>
      <c r="G209" s="23">
        <v>68000000</v>
      </c>
      <c r="H209" s="27"/>
      <c r="I209" s="26">
        <v>-2.8571428571428572</v>
      </c>
      <c r="J209" s="26">
        <v>6.015614438310072</v>
      </c>
      <c r="K209" s="27" t="e">
        <v>#VALUE!</v>
      </c>
      <c r="L209" s="34"/>
      <c r="M209" s="37">
        <v>68000000</v>
      </c>
      <c r="N209" s="40"/>
      <c r="O209" s="36">
        <v>4</v>
      </c>
      <c r="P209" s="3"/>
      <c r="Q209" s="31">
        <v>71.7</v>
      </c>
      <c r="R209" s="32">
        <v>71</v>
      </c>
      <c r="S209" s="1">
        <v>1000000</v>
      </c>
      <c r="T209" s="33">
        <v>71700000</v>
      </c>
    </row>
    <row r="210" spans="1:20" ht="13.5" thickBot="1" x14ac:dyDescent="0.25">
      <c r="A210" s="3"/>
      <c r="B210" s="22">
        <v>7</v>
      </c>
      <c r="C210" s="23">
        <v>700000000</v>
      </c>
      <c r="D210" s="39" t="s">
        <v>12</v>
      </c>
      <c r="E210" s="25">
        <v>240.9</v>
      </c>
      <c r="F210" s="27"/>
      <c r="G210" s="23">
        <v>700000000</v>
      </c>
      <c r="H210" s="27"/>
      <c r="I210" s="26">
        <v>0</v>
      </c>
      <c r="J210" s="26">
        <v>5.0999999999999996</v>
      </c>
      <c r="K210" s="27" t="e">
        <v>#VALUE!</v>
      </c>
      <c r="L210" s="34"/>
      <c r="M210" s="37">
        <v>700000000</v>
      </c>
      <c r="N210" s="40"/>
      <c r="O210" s="36">
        <v>4</v>
      </c>
      <c r="P210" s="3"/>
      <c r="Q210" s="31">
        <v>0.70069999999999999</v>
      </c>
      <c r="R210" s="32">
        <v>0.72</v>
      </c>
      <c r="S210" s="4">
        <v>1000000000</v>
      </c>
      <c r="T210" s="33">
        <v>700700000</v>
      </c>
    </row>
    <row r="211" spans="1:20" ht="13.5" thickBot="1" x14ac:dyDescent="0.25">
      <c r="A211" s="41"/>
      <c r="B211" s="22">
        <v>8</v>
      </c>
      <c r="C211" s="23">
        <v>7000000000</v>
      </c>
      <c r="D211" s="39" t="s">
        <v>12</v>
      </c>
      <c r="E211" s="25">
        <v>77.5</v>
      </c>
      <c r="F211" s="27"/>
      <c r="G211" s="23">
        <v>7100000000</v>
      </c>
      <c r="H211" s="27"/>
      <c r="I211" s="26">
        <v>1.4285714285714286</v>
      </c>
      <c r="J211" s="26">
        <v>5.3474482135195736</v>
      </c>
      <c r="K211" s="27" t="e">
        <v>#VALUE!</v>
      </c>
      <c r="L211" s="42"/>
      <c r="M211" s="37">
        <v>7100000000</v>
      </c>
      <c r="N211" s="43"/>
      <c r="O211" s="44">
        <v>4</v>
      </c>
      <c r="P211" s="41"/>
      <c r="Q211" s="31">
        <v>6.9909999999999997</v>
      </c>
      <c r="R211" s="32">
        <v>7</v>
      </c>
      <c r="S211" s="4">
        <v>1000000000</v>
      </c>
      <c r="T211" s="33">
        <v>6991000000</v>
      </c>
    </row>
    <row r="214" spans="1:20" ht="12" thickBot="1" x14ac:dyDescent="0.25"/>
    <row r="215" spans="1:20" ht="13.5" thickBot="1" x14ac:dyDescent="0.25">
      <c r="A215" s="53"/>
      <c r="B215" s="5"/>
      <c r="C215" s="46" t="s">
        <v>0</v>
      </c>
      <c r="D215" s="5"/>
      <c r="E215" s="47"/>
      <c r="F215" s="9" t="s">
        <v>1</v>
      </c>
      <c r="G215" s="10"/>
      <c r="H215" s="47"/>
      <c r="I215" s="11"/>
      <c r="J215" s="12"/>
      <c r="K215" s="12"/>
      <c r="L215" s="1"/>
      <c r="M215" s="51"/>
      <c r="N215" s="1"/>
      <c r="O215" s="50"/>
      <c r="P215" s="1"/>
      <c r="Q215" s="1"/>
      <c r="R215" s="1"/>
      <c r="S215" s="1"/>
      <c r="T215" s="1"/>
    </row>
    <row r="216" spans="1:20" ht="12.75" x14ac:dyDescent="0.2">
      <c r="A216" s="53"/>
      <c r="B216" s="7"/>
      <c r="C216" s="16"/>
      <c r="D216" s="13"/>
      <c r="E216" s="8"/>
      <c r="F216" s="6"/>
      <c r="G216" s="6"/>
      <c r="H216" s="8"/>
      <c r="I216" s="14"/>
      <c r="J216" s="15"/>
      <c r="K216" s="15"/>
      <c r="L216" s="34"/>
      <c r="M216" s="51"/>
      <c r="N216" s="1"/>
      <c r="O216" s="1"/>
      <c r="P216" s="1"/>
      <c r="Q216" s="1"/>
      <c r="R216" s="1"/>
      <c r="S216" s="1"/>
      <c r="T216" s="1"/>
    </row>
    <row r="217" spans="1:20" ht="12.75" x14ac:dyDescent="0.2">
      <c r="A217" s="53"/>
      <c r="B217" s="7"/>
      <c r="C217" s="14"/>
      <c r="D217" s="16"/>
      <c r="E217" s="8"/>
      <c r="F217" s="6" t="s">
        <v>0</v>
      </c>
      <c r="G217" s="6" t="s">
        <v>0</v>
      </c>
      <c r="H217" s="8"/>
      <c r="I217" s="15"/>
      <c r="J217" s="15"/>
      <c r="K217" s="15"/>
      <c r="L217" s="34"/>
      <c r="M217" s="51"/>
      <c r="N217" s="1"/>
      <c r="O217" s="1"/>
      <c r="P217" s="1"/>
      <c r="Q217" s="1"/>
      <c r="R217" s="1"/>
      <c r="S217" s="1"/>
      <c r="T217" s="1"/>
    </row>
    <row r="218" spans="1:20" ht="13.5" thickBot="1" x14ac:dyDescent="0.25">
      <c r="A218" s="54"/>
      <c r="B218" s="17" t="s">
        <v>2</v>
      </c>
      <c r="C218" s="48" t="s">
        <v>3</v>
      </c>
      <c r="D218" s="19" t="s">
        <v>2</v>
      </c>
      <c r="E218" s="20" t="s">
        <v>4</v>
      </c>
      <c r="F218" s="18" t="s">
        <v>3</v>
      </c>
      <c r="G218" s="18" t="s">
        <v>3</v>
      </c>
      <c r="H218" s="20" t="s">
        <v>5</v>
      </c>
      <c r="I218" s="18" t="s">
        <v>6</v>
      </c>
      <c r="J218" s="18" t="s">
        <v>6</v>
      </c>
      <c r="K218" s="21">
        <v>0.15</v>
      </c>
      <c r="L218" s="1"/>
      <c r="M218" s="51"/>
      <c r="N218" s="2" t="s">
        <v>7</v>
      </c>
      <c r="O218" s="1"/>
      <c r="P218" s="1"/>
      <c r="Q218" s="1"/>
      <c r="R218" s="1"/>
      <c r="S218" s="1"/>
      <c r="T218" s="1"/>
    </row>
    <row r="219" spans="1:20" ht="14.25" thickTop="1" thickBot="1" x14ac:dyDescent="0.25">
      <c r="A219" s="49"/>
      <c r="B219" s="22">
        <v>1</v>
      </c>
      <c r="C219" s="23">
        <v>700</v>
      </c>
      <c r="D219" s="24" t="s">
        <v>8</v>
      </c>
      <c r="E219" s="25">
        <v>241.9</v>
      </c>
      <c r="F219" s="113">
        <f>N219</f>
        <v>106</v>
      </c>
      <c r="G219" s="23">
        <v>800</v>
      </c>
      <c r="H219" s="23">
        <v>696</v>
      </c>
      <c r="I219" s="26">
        <v>-0.5714285714285714</v>
      </c>
      <c r="J219" s="26">
        <v>6.1325471296595815</v>
      </c>
      <c r="K219" s="27" t="e">
        <v>#VALUE!</v>
      </c>
      <c r="L219" s="28"/>
      <c r="M219" s="29">
        <v>800</v>
      </c>
      <c r="N219" s="45">
        <v>106</v>
      </c>
      <c r="O219" s="30">
        <v>5</v>
      </c>
      <c r="P219" s="3">
        <v>0</v>
      </c>
      <c r="Q219" s="31">
        <v>0.82040000000000002</v>
      </c>
      <c r="R219" s="32">
        <v>0.69</v>
      </c>
      <c r="S219" s="1">
        <v>1000</v>
      </c>
      <c r="T219" s="33">
        <v>820.4</v>
      </c>
    </row>
    <row r="220" spans="1:20" ht="13.5" thickBot="1" x14ac:dyDescent="0.25">
      <c r="A220" s="52" t="s">
        <v>16</v>
      </c>
      <c r="B220" s="22">
        <v>2</v>
      </c>
      <c r="C220" s="23">
        <v>7000</v>
      </c>
      <c r="D220" s="24" t="s">
        <v>8</v>
      </c>
      <c r="E220" s="25">
        <v>77.400000000000006</v>
      </c>
      <c r="F220" s="114"/>
      <c r="G220" s="23">
        <v>7200</v>
      </c>
      <c r="H220" s="23">
        <v>7096</v>
      </c>
      <c r="I220" s="26">
        <v>1.3714285714285714</v>
      </c>
      <c r="J220" s="26">
        <v>6.2846712843275423</v>
      </c>
      <c r="K220" s="27" t="e">
        <v>#VALUE!</v>
      </c>
      <c r="L220" s="34"/>
      <c r="M220" s="29">
        <v>7200</v>
      </c>
      <c r="N220" s="35">
        <v>104</v>
      </c>
      <c r="O220" s="36">
        <v>5</v>
      </c>
      <c r="P220" s="3">
        <v>0</v>
      </c>
      <c r="Q220" s="31">
        <v>6.9059999999999997</v>
      </c>
      <c r="R220" s="32">
        <v>7</v>
      </c>
      <c r="S220" s="1">
        <v>1000</v>
      </c>
      <c r="T220" s="33">
        <v>6906</v>
      </c>
    </row>
    <row r="221" spans="1:20" ht="13.5" thickBot="1" x14ac:dyDescent="0.25">
      <c r="A221" s="3"/>
      <c r="B221" s="22">
        <v>3</v>
      </c>
      <c r="C221" s="23">
        <v>70000</v>
      </c>
      <c r="D221" s="24" t="s">
        <v>10</v>
      </c>
      <c r="E221" s="25">
        <v>167.3</v>
      </c>
      <c r="F221" s="115"/>
      <c r="G221" s="23">
        <v>70100</v>
      </c>
      <c r="H221" s="23">
        <v>69996</v>
      </c>
      <c r="I221" s="26">
        <v>-5.7142857142857143E-3</v>
      </c>
      <c r="J221" s="26">
        <v>5.100004081630571</v>
      </c>
      <c r="K221" s="27" t="e">
        <v>#VALUE!</v>
      </c>
      <c r="L221" s="34"/>
      <c r="M221" s="37">
        <v>70100</v>
      </c>
      <c r="N221" s="35">
        <v>104</v>
      </c>
      <c r="O221" s="36">
        <v>4</v>
      </c>
      <c r="P221" s="38">
        <v>0</v>
      </c>
      <c r="Q221" s="31">
        <v>70.12</v>
      </c>
      <c r="R221" s="32">
        <v>72</v>
      </c>
      <c r="S221" s="1">
        <v>1000</v>
      </c>
      <c r="T221" s="33">
        <v>70120</v>
      </c>
    </row>
    <row r="222" spans="1:20" ht="13.5" thickBot="1" x14ac:dyDescent="0.25">
      <c r="A222" s="3"/>
      <c r="B222" s="22">
        <v>4</v>
      </c>
      <c r="C222" s="23">
        <v>700000</v>
      </c>
      <c r="D222" s="39" t="s">
        <v>10</v>
      </c>
      <c r="E222" s="25">
        <v>53.7</v>
      </c>
      <c r="F222" s="27"/>
      <c r="G222" s="23">
        <v>690000</v>
      </c>
      <c r="H222" s="27"/>
      <c r="I222" s="26">
        <v>-1.4285714285714286</v>
      </c>
      <c r="J222" s="26">
        <v>5.3474482135195736</v>
      </c>
      <c r="K222" s="27" t="e">
        <v>#VALUE!</v>
      </c>
      <c r="L222" s="34"/>
      <c r="M222" s="37">
        <v>690000</v>
      </c>
      <c r="N222" s="40"/>
      <c r="O222" s="36">
        <v>4</v>
      </c>
      <c r="P222" s="3">
        <v>5</v>
      </c>
      <c r="Q222" s="31">
        <v>0.70920000000000005</v>
      </c>
      <c r="R222" s="32">
        <v>0.69</v>
      </c>
      <c r="S222" s="1">
        <v>1000000</v>
      </c>
      <c r="T222" s="33">
        <v>709200</v>
      </c>
    </row>
    <row r="223" spans="1:20" ht="13.5" thickBot="1" x14ac:dyDescent="0.25">
      <c r="A223" s="3"/>
      <c r="B223" s="22">
        <v>5</v>
      </c>
      <c r="C223" s="23">
        <v>7000000</v>
      </c>
      <c r="D223" s="39" t="s">
        <v>11</v>
      </c>
      <c r="E223" s="25">
        <v>364.1</v>
      </c>
      <c r="F223" s="27"/>
      <c r="G223" s="23">
        <v>6900000</v>
      </c>
      <c r="H223" s="27"/>
      <c r="I223" s="26">
        <v>-1.4285714285714286</v>
      </c>
      <c r="J223" s="26">
        <v>5.3474482135195736</v>
      </c>
      <c r="K223" s="27" t="e">
        <v>#VALUE!</v>
      </c>
      <c r="L223" s="34"/>
      <c r="M223" s="37">
        <v>6900000</v>
      </c>
      <c r="N223" s="40"/>
      <c r="O223" s="36">
        <v>4</v>
      </c>
      <c r="P223" s="3"/>
      <c r="Q223" s="31">
        <v>7.5069999999999997</v>
      </c>
      <c r="R223" s="32">
        <v>6.7</v>
      </c>
      <c r="S223" s="1">
        <v>1000000</v>
      </c>
      <c r="T223" s="33">
        <v>7507000</v>
      </c>
    </row>
    <row r="224" spans="1:20" ht="13.5" thickBot="1" x14ac:dyDescent="0.25">
      <c r="A224" s="3"/>
      <c r="B224" s="22">
        <v>6</v>
      </c>
      <c r="C224" s="23">
        <v>70000000</v>
      </c>
      <c r="D224" s="39" t="s">
        <v>11</v>
      </c>
      <c r="E224" s="25">
        <v>116.7</v>
      </c>
      <c r="F224" s="27"/>
      <c r="G224" s="23">
        <v>68000000</v>
      </c>
      <c r="H224" s="27"/>
      <c r="I224" s="26">
        <v>-2.8571428571428572</v>
      </c>
      <c r="J224" s="26">
        <v>6.015614438310072</v>
      </c>
      <c r="K224" s="27" t="e">
        <v>#VALUE!</v>
      </c>
      <c r="L224" s="34"/>
      <c r="M224" s="37">
        <v>68000000</v>
      </c>
      <c r="N224" s="40"/>
      <c r="O224" s="36">
        <v>4</v>
      </c>
      <c r="P224" s="3"/>
      <c r="Q224" s="31">
        <v>71.7</v>
      </c>
      <c r="R224" s="32">
        <v>64</v>
      </c>
      <c r="S224" s="1">
        <v>1000000</v>
      </c>
      <c r="T224" s="33">
        <v>71700000</v>
      </c>
    </row>
    <row r="225" spans="1:20" ht="13.5" thickBot="1" x14ac:dyDescent="0.25">
      <c r="A225" s="3"/>
      <c r="B225" s="22">
        <v>7</v>
      </c>
      <c r="C225" s="23">
        <v>700000000</v>
      </c>
      <c r="D225" s="39" t="s">
        <v>12</v>
      </c>
      <c r="E225" s="25">
        <v>240.9</v>
      </c>
      <c r="F225" s="27"/>
      <c r="G225" s="23">
        <v>700000000</v>
      </c>
      <c r="H225" s="27"/>
      <c r="I225" s="26">
        <v>0</v>
      </c>
      <c r="J225" s="26">
        <v>5.0999999999999996</v>
      </c>
      <c r="K225" s="27" t="e">
        <v>#VALUE!</v>
      </c>
      <c r="L225" s="34"/>
      <c r="M225" s="37">
        <v>700000000</v>
      </c>
      <c r="N225" s="40"/>
      <c r="O225" s="36">
        <v>4</v>
      </c>
      <c r="P225" s="3"/>
      <c r="Q225" s="31">
        <v>0.70069999999999999</v>
      </c>
      <c r="R225" s="32">
        <v>0.69</v>
      </c>
      <c r="S225" s="4">
        <v>1000000000</v>
      </c>
      <c r="T225" s="33">
        <v>700700000</v>
      </c>
    </row>
    <row r="226" spans="1:20" ht="13.5" thickBot="1" x14ac:dyDescent="0.25">
      <c r="A226" s="41"/>
      <c r="B226" s="22">
        <v>8</v>
      </c>
      <c r="C226" s="23">
        <v>7000000000</v>
      </c>
      <c r="D226" s="39" t="s">
        <v>12</v>
      </c>
      <c r="E226" s="25">
        <v>77.5</v>
      </c>
      <c r="F226" s="27"/>
      <c r="G226" s="23">
        <v>7100000000</v>
      </c>
      <c r="H226" s="27"/>
      <c r="I226" s="26">
        <v>1.4285714285714286</v>
      </c>
      <c r="J226" s="26">
        <v>5.3474482135195736</v>
      </c>
      <c r="K226" s="27" t="e">
        <v>#VALUE!</v>
      </c>
      <c r="L226" s="42"/>
      <c r="M226" s="37">
        <v>7100000000</v>
      </c>
      <c r="N226" s="43"/>
      <c r="O226" s="44">
        <v>4</v>
      </c>
      <c r="P226" s="41"/>
      <c r="Q226" s="31">
        <v>6.9909999999999997</v>
      </c>
      <c r="R226" s="32">
        <v>7</v>
      </c>
      <c r="S226" s="4">
        <v>1000000000</v>
      </c>
      <c r="T226" s="33">
        <v>6991000000</v>
      </c>
    </row>
    <row r="228" spans="1:20" x14ac:dyDescent="0.2">
      <c r="A228" s="109"/>
      <c r="B228" s="10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</row>
    <row r="230" spans="1:20" ht="12" thickBot="1" x14ac:dyDescent="0.25"/>
    <row r="231" spans="1:20" ht="13.5" thickBot="1" x14ac:dyDescent="0.25">
      <c r="A231" s="56"/>
      <c r="B231" s="57"/>
      <c r="C231" s="58" t="s">
        <v>0</v>
      </c>
      <c r="D231" s="57"/>
      <c r="E231" s="59"/>
      <c r="F231" s="60" t="s">
        <v>1</v>
      </c>
      <c r="G231" s="61"/>
      <c r="H231" s="59"/>
      <c r="I231" s="62"/>
      <c r="J231" s="63"/>
      <c r="K231" s="63"/>
      <c r="M231" s="64"/>
      <c r="O231" s="65"/>
    </row>
    <row r="232" spans="1:20" ht="12.75" x14ac:dyDescent="0.2">
      <c r="A232" s="56"/>
      <c r="B232" s="66"/>
      <c r="C232" s="67"/>
      <c r="D232" s="68"/>
      <c r="E232" s="69"/>
      <c r="F232" s="70"/>
      <c r="G232" s="70"/>
      <c r="H232" s="69"/>
      <c r="I232" s="71"/>
      <c r="J232" s="72"/>
      <c r="K232" s="72"/>
      <c r="L232" s="73"/>
      <c r="M232" s="64"/>
    </row>
    <row r="233" spans="1:20" ht="12.75" x14ac:dyDescent="0.2">
      <c r="A233" s="56"/>
      <c r="B233" s="66"/>
      <c r="C233" s="71"/>
      <c r="D233" s="67"/>
      <c r="E233" s="69"/>
      <c r="F233" s="70" t="s">
        <v>0</v>
      </c>
      <c r="G233" s="70" t="s">
        <v>0</v>
      </c>
      <c r="H233" s="69"/>
      <c r="I233" s="72"/>
      <c r="J233" s="72"/>
      <c r="K233" s="72"/>
      <c r="L233" s="73"/>
      <c r="M233" s="64"/>
    </row>
    <row r="234" spans="1:20" ht="13.5" thickBot="1" x14ac:dyDescent="0.25">
      <c r="A234" s="74"/>
      <c r="B234" s="75" t="s">
        <v>2</v>
      </c>
      <c r="C234" s="76" t="s">
        <v>3</v>
      </c>
      <c r="D234" s="77" t="s">
        <v>2</v>
      </c>
      <c r="E234" s="78" t="s">
        <v>4</v>
      </c>
      <c r="F234" s="79" t="s">
        <v>3</v>
      </c>
      <c r="G234" s="79" t="s">
        <v>3</v>
      </c>
      <c r="H234" s="78" t="s">
        <v>5</v>
      </c>
      <c r="I234" s="79" t="s">
        <v>6</v>
      </c>
      <c r="J234" s="79" t="s">
        <v>6</v>
      </c>
      <c r="K234" s="80">
        <v>0.15</v>
      </c>
      <c r="M234" s="64"/>
      <c r="N234" s="81" t="s">
        <v>7</v>
      </c>
    </row>
    <row r="235" spans="1:20" ht="14.25" thickTop="1" thickBot="1" x14ac:dyDescent="0.25">
      <c r="A235" s="82"/>
      <c r="B235" s="83">
        <v>1</v>
      </c>
      <c r="C235" s="84">
        <v>700</v>
      </c>
      <c r="D235" s="85" t="s">
        <v>8</v>
      </c>
      <c r="E235" s="86">
        <v>241.9</v>
      </c>
      <c r="F235" s="112">
        <f>N235</f>
        <v>100</v>
      </c>
      <c r="G235" s="84">
        <f t="shared" ref="G235:G242" si="5">M235</f>
        <v>800</v>
      </c>
      <c r="H235" s="84">
        <f>G235-N235</f>
        <v>700</v>
      </c>
      <c r="I235" s="87">
        <f t="shared" ref="I235:I242" si="6">((G235-N235)-C235)/C235*100</f>
        <v>0</v>
      </c>
      <c r="J235" s="87">
        <f t="shared" ref="J235:J242" si="7">1.1+SQRT(O235^2+I235^2)</f>
        <v>6.1</v>
      </c>
      <c r="K235" s="88" t="e">
        <f t="shared" ref="K235:K242" si="8">TEXT(J235,"0.0")&amp;"&lt;15"</f>
        <v>#VALUE!</v>
      </c>
      <c r="L235" s="89"/>
      <c r="M235" s="90">
        <f>R235*10^3+100</f>
        <v>800</v>
      </c>
      <c r="N235" s="91">
        <v>100</v>
      </c>
      <c r="O235" s="92">
        <v>5</v>
      </c>
      <c r="P235" s="93">
        <f>A235</f>
        <v>0</v>
      </c>
      <c r="Q235" s="94">
        <v>0.82040000000000002</v>
      </c>
      <c r="R235" s="95">
        <v>0.7</v>
      </c>
      <c r="S235">
        <v>1000</v>
      </c>
      <c r="T235" s="96">
        <f t="shared" ref="T235:T242" si="9">Q235*S235</f>
        <v>820.4</v>
      </c>
    </row>
    <row r="236" spans="1:20" ht="13.5" thickBot="1" x14ac:dyDescent="0.25">
      <c r="A236" s="97" t="s">
        <v>18</v>
      </c>
      <c r="B236" s="83">
        <v>2</v>
      </c>
      <c r="C236" s="84">
        <v>7000</v>
      </c>
      <c r="D236" s="85" t="s">
        <v>8</v>
      </c>
      <c r="E236" s="86">
        <v>77.400000000000006</v>
      </c>
      <c r="F236" s="112"/>
      <c r="G236" s="84">
        <f t="shared" si="5"/>
        <v>7100</v>
      </c>
      <c r="H236" s="84">
        <f>G236-N236</f>
        <v>7000</v>
      </c>
      <c r="I236" s="87">
        <f t="shared" si="6"/>
        <v>0</v>
      </c>
      <c r="J236" s="87">
        <f t="shared" si="7"/>
        <v>6.1</v>
      </c>
      <c r="K236" s="88" t="e">
        <f t="shared" si="8"/>
        <v>#VALUE!</v>
      </c>
      <c r="L236" s="73"/>
      <c r="M236" s="90">
        <f>R236*10^3+100</f>
        <v>7100</v>
      </c>
      <c r="N236" s="98">
        <f>N235</f>
        <v>100</v>
      </c>
      <c r="O236" s="99">
        <v>5</v>
      </c>
      <c r="P236" s="93" t="e">
        <f>'[1]Калибровочные значения'!#REF!</f>
        <v>#REF!</v>
      </c>
      <c r="Q236" s="94">
        <v>6.9059999999999997</v>
      </c>
      <c r="R236" s="95">
        <v>7</v>
      </c>
      <c r="S236">
        <v>1000</v>
      </c>
      <c r="T236" s="96">
        <f t="shared" si="9"/>
        <v>6906</v>
      </c>
    </row>
    <row r="237" spans="1:20" ht="13.5" thickBot="1" x14ac:dyDescent="0.25">
      <c r="A237" s="93"/>
      <c r="B237" s="83">
        <v>3</v>
      </c>
      <c r="C237" s="84">
        <v>70000</v>
      </c>
      <c r="D237" s="85" t="s">
        <v>10</v>
      </c>
      <c r="E237" s="86">
        <v>167.3</v>
      </c>
      <c r="F237" s="112"/>
      <c r="G237" s="84">
        <f t="shared" si="5"/>
        <v>71100</v>
      </c>
      <c r="H237" s="84">
        <f>G237-N237</f>
        <v>71000</v>
      </c>
      <c r="I237" s="87">
        <f t="shared" si="6"/>
        <v>1.4285714285714286</v>
      </c>
      <c r="J237" s="87">
        <f t="shared" si="7"/>
        <v>5.3474482135195736</v>
      </c>
      <c r="K237" s="88" t="e">
        <f t="shared" si="8"/>
        <v>#VALUE!</v>
      </c>
      <c r="L237" s="73"/>
      <c r="M237" s="100">
        <f>R237*10^3+100</f>
        <v>71100</v>
      </c>
      <c r="N237" s="98">
        <f>N235</f>
        <v>100</v>
      </c>
      <c r="O237" s="99">
        <v>4</v>
      </c>
      <c r="P237" s="101" t="e">
        <f>'[1]Калибровочные значения'!#REF!</f>
        <v>#REF!</v>
      </c>
      <c r="Q237" s="94">
        <v>70.12</v>
      </c>
      <c r="R237" s="95">
        <v>71</v>
      </c>
      <c r="S237">
        <v>1000</v>
      </c>
      <c r="T237" s="96">
        <f t="shared" si="9"/>
        <v>70120</v>
      </c>
    </row>
    <row r="238" spans="1:20" ht="13.5" thickBot="1" x14ac:dyDescent="0.25">
      <c r="A238" s="93"/>
      <c r="B238" s="83">
        <v>4</v>
      </c>
      <c r="C238" s="84">
        <v>700000</v>
      </c>
      <c r="D238" s="102" t="s">
        <v>10</v>
      </c>
      <c r="E238" s="86">
        <v>53.7</v>
      </c>
      <c r="F238" s="88"/>
      <c r="G238" s="84">
        <f t="shared" si="5"/>
        <v>700000</v>
      </c>
      <c r="H238" s="88"/>
      <c r="I238" s="87">
        <f t="shared" si="6"/>
        <v>0</v>
      </c>
      <c r="J238" s="87">
        <f t="shared" si="7"/>
        <v>5.0999999999999996</v>
      </c>
      <c r="K238" s="88" t="e">
        <f t="shared" si="8"/>
        <v>#VALUE!</v>
      </c>
      <c r="L238" s="73"/>
      <c r="M238" s="100">
        <f>R238*10^6</f>
        <v>700000</v>
      </c>
      <c r="N238" s="103"/>
      <c r="O238" s="99">
        <v>4</v>
      </c>
      <c r="P238" s="93">
        <v>5</v>
      </c>
      <c r="Q238" s="94">
        <v>0.70920000000000005</v>
      </c>
      <c r="R238" s="95">
        <v>0.7</v>
      </c>
      <c r="S238">
        <v>1000000</v>
      </c>
      <c r="T238" s="96">
        <f t="shared" si="9"/>
        <v>709200</v>
      </c>
    </row>
    <row r="239" spans="1:20" ht="13.5" thickBot="1" x14ac:dyDescent="0.25">
      <c r="A239" s="93"/>
      <c r="B239" s="83">
        <v>5</v>
      </c>
      <c r="C239" s="84">
        <v>7000000</v>
      </c>
      <c r="D239" s="102" t="s">
        <v>11</v>
      </c>
      <c r="E239" s="86">
        <v>364.1</v>
      </c>
      <c r="F239" s="88"/>
      <c r="G239" s="84">
        <f t="shared" si="5"/>
        <v>7000000</v>
      </c>
      <c r="H239" s="88"/>
      <c r="I239" s="87">
        <f t="shared" si="6"/>
        <v>0</v>
      </c>
      <c r="J239" s="87">
        <f t="shared" si="7"/>
        <v>5.0999999999999996</v>
      </c>
      <c r="K239" s="88" t="e">
        <f t="shared" si="8"/>
        <v>#VALUE!</v>
      </c>
      <c r="L239" s="73"/>
      <c r="M239" s="100">
        <f>R239*10^6</f>
        <v>7000000</v>
      </c>
      <c r="N239" s="103"/>
      <c r="O239" s="99">
        <v>4</v>
      </c>
      <c r="P239" s="93"/>
      <c r="Q239" s="94">
        <v>7.5069999999999997</v>
      </c>
      <c r="R239" s="95">
        <v>7</v>
      </c>
      <c r="S239">
        <v>1000000</v>
      </c>
      <c r="T239" s="96">
        <f t="shared" si="9"/>
        <v>7507000</v>
      </c>
    </row>
    <row r="240" spans="1:20" ht="13.5" thickBot="1" x14ac:dyDescent="0.25">
      <c r="A240" s="93"/>
      <c r="B240" s="83">
        <v>6</v>
      </c>
      <c r="C240" s="84">
        <v>70000000</v>
      </c>
      <c r="D240" s="102" t="s">
        <v>11</v>
      </c>
      <c r="E240" s="86">
        <v>116.7</v>
      </c>
      <c r="F240" s="88"/>
      <c r="G240" s="84">
        <f t="shared" si="5"/>
        <v>68000000</v>
      </c>
      <c r="H240" s="88"/>
      <c r="I240" s="87">
        <f t="shared" si="6"/>
        <v>-2.8571428571428572</v>
      </c>
      <c r="J240" s="87">
        <f t="shared" si="7"/>
        <v>6.015614438310072</v>
      </c>
      <c r="K240" s="88" t="e">
        <f t="shared" si="8"/>
        <v>#VALUE!</v>
      </c>
      <c r="L240" s="73"/>
      <c r="M240" s="100">
        <f>R240*10^6</f>
        <v>68000000</v>
      </c>
      <c r="N240" s="103"/>
      <c r="O240" s="99">
        <v>4</v>
      </c>
      <c r="P240" s="93"/>
      <c r="Q240" s="94">
        <v>71.7</v>
      </c>
      <c r="R240" s="95">
        <v>68</v>
      </c>
      <c r="S240">
        <v>1000000</v>
      </c>
      <c r="T240" s="96">
        <f t="shared" si="9"/>
        <v>71700000</v>
      </c>
    </row>
    <row r="241" spans="1:20" ht="13.5" thickBot="1" x14ac:dyDescent="0.25">
      <c r="A241" s="93"/>
      <c r="B241" s="83">
        <v>7</v>
      </c>
      <c r="C241" s="84">
        <v>700000000</v>
      </c>
      <c r="D241" s="102" t="s">
        <v>12</v>
      </c>
      <c r="E241" s="86">
        <v>240.9</v>
      </c>
      <c r="F241" s="88"/>
      <c r="G241" s="84">
        <f t="shared" si="5"/>
        <v>720000000</v>
      </c>
      <c r="H241" s="88"/>
      <c r="I241" s="87">
        <f t="shared" si="6"/>
        <v>2.8571428571428572</v>
      </c>
      <c r="J241" s="87">
        <f t="shared" si="7"/>
        <v>6.015614438310072</v>
      </c>
      <c r="K241" s="88" t="e">
        <f t="shared" si="8"/>
        <v>#VALUE!</v>
      </c>
      <c r="L241" s="73"/>
      <c r="M241" s="100">
        <f>R241*10^9</f>
        <v>720000000</v>
      </c>
      <c r="N241" s="103"/>
      <c r="O241" s="99">
        <v>4</v>
      </c>
      <c r="P241" s="93"/>
      <c r="Q241" s="94">
        <v>0.70069999999999999</v>
      </c>
      <c r="R241" s="95">
        <v>0.72</v>
      </c>
      <c r="S241" s="104">
        <v>1000000000</v>
      </c>
      <c r="T241" s="96">
        <f t="shared" si="9"/>
        <v>700700000</v>
      </c>
    </row>
    <row r="242" spans="1:20" ht="13.5" thickBot="1" x14ac:dyDescent="0.25">
      <c r="A242" s="105"/>
      <c r="B242" s="83">
        <v>8</v>
      </c>
      <c r="C242" s="84">
        <v>7000000000</v>
      </c>
      <c r="D242" s="102" t="s">
        <v>12</v>
      </c>
      <c r="E242" s="86">
        <v>77.5</v>
      </c>
      <c r="F242" s="88"/>
      <c r="G242" s="84">
        <f t="shared" si="5"/>
        <v>7200000000</v>
      </c>
      <c r="H242" s="88"/>
      <c r="I242" s="87">
        <f t="shared" si="6"/>
        <v>2.8571428571428572</v>
      </c>
      <c r="J242" s="87">
        <f t="shared" si="7"/>
        <v>6.015614438310072</v>
      </c>
      <c r="K242" s="88" t="e">
        <f t="shared" si="8"/>
        <v>#VALUE!</v>
      </c>
      <c r="L242" s="106"/>
      <c r="M242" s="100">
        <f>R242*10^9</f>
        <v>7200000000</v>
      </c>
      <c r="N242" s="107"/>
      <c r="O242" s="108">
        <v>4</v>
      </c>
      <c r="P242" s="105"/>
      <c r="Q242" s="94">
        <v>6.9909999999999997</v>
      </c>
      <c r="R242" s="95">
        <v>7.2</v>
      </c>
      <c r="S242" s="104">
        <v>1000000000</v>
      </c>
      <c r="T242" s="96">
        <f t="shared" si="9"/>
        <v>6991000000</v>
      </c>
    </row>
    <row r="245" spans="1:20" ht="12" thickBot="1" x14ac:dyDescent="0.25"/>
    <row r="246" spans="1:20" ht="13.5" thickBot="1" x14ac:dyDescent="0.25">
      <c r="A246" s="56"/>
      <c r="B246" s="57"/>
      <c r="C246" s="58" t="s">
        <v>0</v>
      </c>
      <c r="D246" s="57"/>
      <c r="E246" s="59"/>
      <c r="F246" s="60" t="s">
        <v>1</v>
      </c>
      <c r="G246" s="61"/>
      <c r="H246" s="59"/>
      <c r="I246" s="62"/>
      <c r="J246" s="63"/>
      <c r="K246" s="63"/>
      <c r="M246" s="64"/>
      <c r="O246" s="65"/>
    </row>
    <row r="247" spans="1:20" ht="12.75" x14ac:dyDescent="0.2">
      <c r="A247" s="56"/>
      <c r="B247" s="66"/>
      <c r="C247" s="67"/>
      <c r="D247" s="68"/>
      <c r="E247" s="69"/>
      <c r="F247" s="70"/>
      <c r="G247" s="70"/>
      <c r="H247" s="69"/>
      <c r="I247" s="71"/>
      <c r="J247" s="72"/>
      <c r="K247" s="72"/>
      <c r="L247" s="73"/>
      <c r="M247" s="64"/>
    </row>
    <row r="248" spans="1:20" ht="12.75" x14ac:dyDescent="0.2">
      <c r="A248" s="56"/>
      <c r="B248" s="66"/>
      <c r="C248" s="71"/>
      <c r="D248" s="67"/>
      <c r="E248" s="69"/>
      <c r="F248" s="70" t="s">
        <v>0</v>
      </c>
      <c r="G248" s="70" t="s">
        <v>0</v>
      </c>
      <c r="H248" s="69"/>
      <c r="I248" s="72"/>
      <c r="J248" s="72"/>
      <c r="K248" s="72"/>
      <c r="L248" s="73"/>
      <c r="M248" s="64"/>
    </row>
    <row r="249" spans="1:20" ht="13.5" thickBot="1" x14ac:dyDescent="0.25">
      <c r="A249" s="74"/>
      <c r="B249" s="75" t="s">
        <v>2</v>
      </c>
      <c r="C249" s="76" t="s">
        <v>3</v>
      </c>
      <c r="D249" s="77" t="s">
        <v>2</v>
      </c>
      <c r="E249" s="78" t="s">
        <v>4</v>
      </c>
      <c r="F249" s="79" t="s">
        <v>3</v>
      </c>
      <c r="G249" s="79" t="s">
        <v>3</v>
      </c>
      <c r="H249" s="78" t="s">
        <v>5</v>
      </c>
      <c r="I249" s="79" t="s">
        <v>6</v>
      </c>
      <c r="J249" s="79" t="s">
        <v>6</v>
      </c>
      <c r="K249" s="80">
        <v>0.15</v>
      </c>
      <c r="M249" s="64"/>
      <c r="N249" s="81" t="s">
        <v>7</v>
      </c>
    </row>
    <row r="250" spans="1:20" ht="14.25" thickTop="1" thickBot="1" x14ac:dyDescent="0.25">
      <c r="A250" s="82"/>
      <c r="B250" s="83">
        <v>1</v>
      </c>
      <c r="C250" s="84">
        <v>700</v>
      </c>
      <c r="D250" s="85" t="s">
        <v>8</v>
      </c>
      <c r="E250" s="86">
        <v>241.9</v>
      </c>
      <c r="F250" s="112">
        <f>N250</f>
        <v>98</v>
      </c>
      <c r="G250" s="84">
        <f t="shared" ref="G250:G257" si="10">M250</f>
        <v>790</v>
      </c>
      <c r="H250" s="84">
        <f>G250-N250</f>
        <v>692</v>
      </c>
      <c r="I250" s="87">
        <f t="shared" ref="I250:I257" si="11">((G250-N250)-C250)/C250*100</f>
        <v>-1.1428571428571428</v>
      </c>
      <c r="J250" s="87">
        <f t="shared" ref="J250:J257" si="12">1.1+SQRT(O250^2+I250^2)</f>
        <v>6.2289494488617834</v>
      </c>
      <c r="K250" s="88" t="e">
        <f t="shared" ref="K250:K257" si="13">TEXT(J250,"0.0")&amp;"&lt;15"</f>
        <v>#VALUE!</v>
      </c>
      <c r="L250" s="89"/>
      <c r="M250" s="90">
        <f>R250*10^3+100</f>
        <v>790</v>
      </c>
      <c r="N250" s="91">
        <v>98</v>
      </c>
      <c r="O250" s="92">
        <v>5</v>
      </c>
      <c r="P250" s="93">
        <f>A250</f>
        <v>0</v>
      </c>
      <c r="Q250" s="94">
        <v>0.82040000000000002</v>
      </c>
      <c r="R250" s="95">
        <v>0.69</v>
      </c>
      <c r="S250">
        <v>1000</v>
      </c>
      <c r="T250" s="96">
        <f t="shared" ref="T250:T257" si="14">Q250*S250</f>
        <v>820.4</v>
      </c>
    </row>
    <row r="251" spans="1:20" ht="13.5" thickBot="1" x14ac:dyDescent="0.25">
      <c r="A251" s="97" t="s">
        <v>19</v>
      </c>
      <c r="B251" s="83">
        <v>2</v>
      </c>
      <c r="C251" s="84">
        <v>7000</v>
      </c>
      <c r="D251" s="85" t="s">
        <v>8</v>
      </c>
      <c r="E251" s="86">
        <v>77.400000000000006</v>
      </c>
      <c r="F251" s="112"/>
      <c r="G251" s="84">
        <f t="shared" si="10"/>
        <v>7200</v>
      </c>
      <c r="H251" s="84">
        <f>G251-N251</f>
        <v>7102</v>
      </c>
      <c r="I251" s="87">
        <f t="shared" si="11"/>
        <v>1.4571428571428573</v>
      </c>
      <c r="J251" s="87">
        <f t="shared" si="12"/>
        <v>6.3080001253957789</v>
      </c>
      <c r="K251" s="88" t="e">
        <f t="shared" si="13"/>
        <v>#VALUE!</v>
      </c>
      <c r="L251" s="73"/>
      <c r="M251" s="90">
        <f>R251*10^3+100</f>
        <v>7200</v>
      </c>
      <c r="N251" s="98">
        <f>N250</f>
        <v>98</v>
      </c>
      <c r="O251" s="99">
        <v>5</v>
      </c>
      <c r="P251" s="93" t="e">
        <f>'[1]Калибровочные значения'!#REF!</f>
        <v>#REF!</v>
      </c>
      <c r="Q251" s="94">
        <v>6.9059999999999997</v>
      </c>
      <c r="R251" s="95">
        <v>7.1</v>
      </c>
      <c r="S251">
        <v>1000</v>
      </c>
      <c r="T251" s="96">
        <f t="shared" si="14"/>
        <v>6906</v>
      </c>
    </row>
    <row r="252" spans="1:20" ht="13.5" thickBot="1" x14ac:dyDescent="0.25">
      <c r="A252" s="93"/>
      <c r="B252" s="83">
        <v>3</v>
      </c>
      <c r="C252" s="84">
        <v>70000</v>
      </c>
      <c r="D252" s="85" t="s">
        <v>10</v>
      </c>
      <c r="E252" s="86">
        <v>167.3</v>
      </c>
      <c r="F252" s="112"/>
      <c r="G252" s="84">
        <f t="shared" si="10"/>
        <v>70100</v>
      </c>
      <c r="H252" s="84">
        <f>G252-N252</f>
        <v>70002</v>
      </c>
      <c r="I252" s="87">
        <f t="shared" si="11"/>
        <v>2.8571428571428571E-3</v>
      </c>
      <c r="J252" s="87">
        <f t="shared" si="12"/>
        <v>5.1000010204080333</v>
      </c>
      <c r="K252" s="88" t="e">
        <f t="shared" si="13"/>
        <v>#VALUE!</v>
      </c>
      <c r="L252" s="73"/>
      <c r="M252" s="100">
        <f>R252*10^3+100</f>
        <v>70100</v>
      </c>
      <c r="N252" s="98">
        <f>N250</f>
        <v>98</v>
      </c>
      <c r="O252" s="99">
        <v>4</v>
      </c>
      <c r="P252" s="101" t="e">
        <f>'[1]Калибровочные значения'!#REF!</f>
        <v>#REF!</v>
      </c>
      <c r="Q252" s="94">
        <v>70.12</v>
      </c>
      <c r="R252" s="95">
        <v>70</v>
      </c>
      <c r="S252">
        <v>1000</v>
      </c>
      <c r="T252" s="96">
        <f t="shared" si="14"/>
        <v>70120</v>
      </c>
    </row>
    <row r="253" spans="1:20" ht="13.5" thickBot="1" x14ac:dyDescent="0.25">
      <c r="A253" s="93"/>
      <c r="B253" s="83">
        <v>4</v>
      </c>
      <c r="C253" s="84">
        <v>700000</v>
      </c>
      <c r="D253" s="102" t="s">
        <v>10</v>
      </c>
      <c r="E253" s="86">
        <v>53.7</v>
      </c>
      <c r="F253" s="88"/>
      <c r="G253" s="84">
        <f t="shared" si="10"/>
        <v>710000</v>
      </c>
      <c r="H253" s="88"/>
      <c r="I253" s="87">
        <f t="shared" si="11"/>
        <v>1.4285714285714286</v>
      </c>
      <c r="J253" s="87">
        <f t="shared" si="12"/>
        <v>5.3474482135195736</v>
      </c>
      <c r="K253" s="88" t="e">
        <f t="shared" si="13"/>
        <v>#VALUE!</v>
      </c>
      <c r="L253" s="73"/>
      <c r="M253" s="100">
        <f>R253*10^6</f>
        <v>710000</v>
      </c>
      <c r="N253" s="103"/>
      <c r="O253" s="99">
        <v>4</v>
      </c>
      <c r="P253" s="93">
        <v>5</v>
      </c>
      <c r="Q253" s="94">
        <v>0.70920000000000005</v>
      </c>
      <c r="R253" s="95">
        <v>0.71</v>
      </c>
      <c r="S253">
        <v>1000000</v>
      </c>
      <c r="T253" s="96">
        <f t="shared" si="14"/>
        <v>709200</v>
      </c>
    </row>
    <row r="254" spans="1:20" ht="13.5" thickBot="1" x14ac:dyDescent="0.25">
      <c r="A254" s="93"/>
      <c r="B254" s="83">
        <v>5</v>
      </c>
      <c r="C254" s="84">
        <v>7000000</v>
      </c>
      <c r="D254" s="102" t="s">
        <v>11</v>
      </c>
      <c r="E254" s="86">
        <v>364.1</v>
      </c>
      <c r="F254" s="88"/>
      <c r="G254" s="84">
        <f t="shared" si="10"/>
        <v>7100000</v>
      </c>
      <c r="H254" s="88"/>
      <c r="I254" s="87">
        <f t="shared" si="11"/>
        <v>1.4285714285714286</v>
      </c>
      <c r="J254" s="87">
        <f t="shared" si="12"/>
        <v>5.3474482135195736</v>
      </c>
      <c r="K254" s="88" t="e">
        <f t="shared" si="13"/>
        <v>#VALUE!</v>
      </c>
      <c r="L254" s="73"/>
      <c r="M254" s="100">
        <f>R254*10^6</f>
        <v>7100000</v>
      </c>
      <c r="N254" s="103"/>
      <c r="O254" s="99">
        <v>4</v>
      </c>
      <c r="P254" s="93"/>
      <c r="Q254" s="94">
        <v>7.5069999999999997</v>
      </c>
      <c r="R254" s="95">
        <v>7.1</v>
      </c>
      <c r="S254">
        <v>1000000</v>
      </c>
      <c r="T254" s="96">
        <f t="shared" si="14"/>
        <v>7507000</v>
      </c>
    </row>
    <row r="255" spans="1:20" ht="13.5" thickBot="1" x14ac:dyDescent="0.25">
      <c r="A255" s="93"/>
      <c r="B255" s="83">
        <v>6</v>
      </c>
      <c r="C255" s="84">
        <v>70000000</v>
      </c>
      <c r="D255" s="102" t="s">
        <v>11</v>
      </c>
      <c r="E255" s="86">
        <v>116.7</v>
      </c>
      <c r="F255" s="88"/>
      <c r="G255" s="84">
        <f t="shared" si="10"/>
        <v>70000000</v>
      </c>
      <c r="H255" s="88"/>
      <c r="I255" s="87">
        <f t="shared" si="11"/>
        <v>0</v>
      </c>
      <c r="J255" s="87">
        <f t="shared" si="12"/>
        <v>5.0999999999999996</v>
      </c>
      <c r="K255" s="88" t="e">
        <f t="shared" si="13"/>
        <v>#VALUE!</v>
      </c>
      <c r="L255" s="73"/>
      <c r="M255" s="100">
        <f>R255*10^6</f>
        <v>70000000</v>
      </c>
      <c r="N255" s="103"/>
      <c r="O255" s="99">
        <v>4</v>
      </c>
      <c r="P255" s="93"/>
      <c r="Q255" s="94">
        <v>71.7</v>
      </c>
      <c r="R255" s="95">
        <v>70</v>
      </c>
      <c r="S255">
        <v>1000000</v>
      </c>
      <c r="T255" s="96">
        <f t="shared" si="14"/>
        <v>71700000</v>
      </c>
    </row>
    <row r="256" spans="1:20" ht="13.5" thickBot="1" x14ac:dyDescent="0.25">
      <c r="A256" s="93"/>
      <c r="B256" s="83">
        <v>7</v>
      </c>
      <c r="C256" s="84">
        <v>700000000</v>
      </c>
      <c r="D256" s="102" t="s">
        <v>12</v>
      </c>
      <c r="E256" s="86">
        <v>240.9</v>
      </c>
      <c r="F256" s="88"/>
      <c r="G256" s="84">
        <f t="shared" si="10"/>
        <v>680000000</v>
      </c>
      <c r="H256" s="88"/>
      <c r="I256" s="87">
        <f t="shared" si="11"/>
        <v>-2.8571428571428572</v>
      </c>
      <c r="J256" s="87">
        <f t="shared" si="12"/>
        <v>6.015614438310072</v>
      </c>
      <c r="K256" s="88" t="e">
        <f t="shared" si="13"/>
        <v>#VALUE!</v>
      </c>
      <c r="L256" s="73"/>
      <c r="M256" s="100">
        <f>R256*10^9</f>
        <v>680000000</v>
      </c>
      <c r="N256" s="103"/>
      <c r="O256" s="99">
        <v>4</v>
      </c>
      <c r="P256" s="93"/>
      <c r="Q256" s="94">
        <v>0.70069999999999999</v>
      </c>
      <c r="R256" s="95">
        <v>0.68</v>
      </c>
      <c r="S256" s="104">
        <v>1000000000</v>
      </c>
      <c r="T256" s="96">
        <f t="shared" si="14"/>
        <v>700700000</v>
      </c>
    </row>
    <row r="257" spans="1:20" ht="13.5" thickBot="1" x14ac:dyDescent="0.25">
      <c r="A257" s="105"/>
      <c r="B257" s="83">
        <v>8</v>
      </c>
      <c r="C257" s="84">
        <v>7000000000</v>
      </c>
      <c r="D257" s="102" t="s">
        <v>12</v>
      </c>
      <c r="E257" s="86">
        <v>77.5</v>
      </c>
      <c r="F257" s="88"/>
      <c r="G257" s="84">
        <f t="shared" si="10"/>
        <v>7000000000</v>
      </c>
      <c r="H257" s="88"/>
      <c r="I257" s="87">
        <f t="shared" si="11"/>
        <v>0</v>
      </c>
      <c r="J257" s="87">
        <f t="shared" si="12"/>
        <v>5.0999999999999996</v>
      </c>
      <c r="K257" s="88" t="e">
        <f t="shared" si="13"/>
        <v>#VALUE!</v>
      </c>
      <c r="L257" s="106"/>
      <c r="M257" s="100">
        <f>R257*10^9</f>
        <v>7000000000</v>
      </c>
      <c r="N257" s="107"/>
      <c r="O257" s="108">
        <v>4</v>
      </c>
      <c r="P257" s="105"/>
      <c r="Q257" s="94">
        <v>6.9909999999999997</v>
      </c>
      <c r="R257" s="95">
        <v>7</v>
      </c>
      <c r="S257" s="104">
        <v>1000000000</v>
      </c>
      <c r="T257" s="96">
        <f t="shared" si="14"/>
        <v>6991000000</v>
      </c>
    </row>
    <row r="260" spans="1:20" ht="12" thickBot="1" x14ac:dyDescent="0.25"/>
    <row r="261" spans="1:20" ht="13.5" thickBot="1" x14ac:dyDescent="0.25">
      <c r="A261" s="56"/>
      <c r="B261" s="57"/>
      <c r="C261" s="58" t="s">
        <v>0</v>
      </c>
      <c r="D261" s="57"/>
      <c r="E261" s="59"/>
      <c r="F261" s="60" t="s">
        <v>1</v>
      </c>
      <c r="G261" s="61"/>
      <c r="H261" s="59"/>
      <c r="I261" s="62"/>
      <c r="J261" s="63"/>
      <c r="K261" s="63"/>
      <c r="M261" s="64"/>
      <c r="O261" s="65"/>
    </row>
    <row r="262" spans="1:20" ht="12.75" x14ac:dyDescent="0.2">
      <c r="A262" s="56"/>
      <c r="B262" s="66"/>
      <c r="C262" s="67"/>
      <c r="D262" s="68"/>
      <c r="E262" s="69"/>
      <c r="F262" s="70"/>
      <c r="G262" s="70"/>
      <c r="H262" s="69"/>
      <c r="I262" s="71"/>
      <c r="J262" s="72"/>
      <c r="K262" s="72"/>
      <c r="L262" s="73"/>
      <c r="M262" s="64"/>
    </row>
    <row r="263" spans="1:20" ht="12.75" x14ac:dyDescent="0.2">
      <c r="A263" s="56"/>
      <c r="B263" s="66"/>
      <c r="C263" s="71"/>
      <c r="D263" s="67"/>
      <c r="E263" s="69"/>
      <c r="F263" s="70" t="s">
        <v>0</v>
      </c>
      <c r="G263" s="70" t="s">
        <v>0</v>
      </c>
      <c r="H263" s="69"/>
      <c r="I263" s="72"/>
      <c r="J263" s="72"/>
      <c r="K263" s="72"/>
      <c r="L263" s="73"/>
      <c r="M263" s="64"/>
    </row>
    <row r="264" spans="1:20" ht="13.5" thickBot="1" x14ac:dyDescent="0.25">
      <c r="A264" s="74"/>
      <c r="B264" s="75" t="s">
        <v>2</v>
      </c>
      <c r="C264" s="76" t="s">
        <v>3</v>
      </c>
      <c r="D264" s="77" t="s">
        <v>2</v>
      </c>
      <c r="E264" s="78" t="s">
        <v>4</v>
      </c>
      <c r="F264" s="79" t="s">
        <v>3</v>
      </c>
      <c r="G264" s="79" t="s">
        <v>3</v>
      </c>
      <c r="H264" s="78" t="s">
        <v>5</v>
      </c>
      <c r="I264" s="79" t="s">
        <v>6</v>
      </c>
      <c r="J264" s="79" t="s">
        <v>6</v>
      </c>
      <c r="K264" s="80">
        <v>0.15</v>
      </c>
      <c r="M264" s="64"/>
      <c r="N264" s="81" t="s">
        <v>7</v>
      </c>
    </row>
    <row r="265" spans="1:20" ht="14.25" thickTop="1" thickBot="1" x14ac:dyDescent="0.25">
      <c r="A265" s="82"/>
      <c r="B265" s="83">
        <v>1</v>
      </c>
      <c r="C265" s="84">
        <v>700</v>
      </c>
      <c r="D265" s="85" t="s">
        <v>8</v>
      </c>
      <c r="E265" s="86">
        <v>241.9</v>
      </c>
      <c r="F265" s="112">
        <f>N265</f>
        <v>101</v>
      </c>
      <c r="G265" s="84">
        <f t="shared" ref="G265:G272" si="15">M265</f>
        <v>790</v>
      </c>
      <c r="H265" s="84">
        <f>G265-N265</f>
        <v>689</v>
      </c>
      <c r="I265" s="87">
        <f t="shared" ref="I265:I272" si="16">((G265-N265)-C265)/C265*100</f>
        <v>-1.5714285714285716</v>
      </c>
      <c r="J265" s="87">
        <f t="shared" ref="J265:J272" si="17">1.1+SQRT(O265^2+I265^2)</f>
        <v>6.3411246650983255</v>
      </c>
      <c r="K265" s="88" t="e">
        <f t="shared" ref="K265:K272" si="18">TEXT(J265,"0.0")&amp;"&lt;15"</f>
        <v>#VALUE!</v>
      </c>
      <c r="L265" s="89"/>
      <c r="M265" s="90">
        <f>R265*10^3+100</f>
        <v>790</v>
      </c>
      <c r="N265" s="91">
        <v>101</v>
      </c>
      <c r="O265" s="92">
        <v>5</v>
      </c>
      <c r="P265" s="93">
        <f>A265</f>
        <v>0</v>
      </c>
      <c r="Q265" s="94">
        <v>0.82040000000000002</v>
      </c>
      <c r="R265" s="95">
        <v>0.69</v>
      </c>
      <c r="S265">
        <v>1000</v>
      </c>
      <c r="T265" s="96">
        <f t="shared" ref="T265:T272" si="19">Q265*S265</f>
        <v>820.4</v>
      </c>
    </row>
    <row r="266" spans="1:20" ht="13.5" thickBot="1" x14ac:dyDescent="0.25">
      <c r="A266" s="97" t="s">
        <v>20</v>
      </c>
      <c r="B266" s="83">
        <v>2</v>
      </c>
      <c r="C266" s="84">
        <v>7000</v>
      </c>
      <c r="D266" s="85" t="s">
        <v>8</v>
      </c>
      <c r="E266" s="86">
        <v>77.400000000000006</v>
      </c>
      <c r="F266" s="112"/>
      <c r="G266" s="84">
        <f t="shared" si="15"/>
        <v>7000</v>
      </c>
      <c r="H266" s="84">
        <f>G266-N266</f>
        <v>6899</v>
      </c>
      <c r="I266" s="87">
        <f t="shared" si="16"/>
        <v>-1.4428571428571428</v>
      </c>
      <c r="J266" s="87">
        <f t="shared" si="17"/>
        <v>6.3040212081325997</v>
      </c>
      <c r="K266" s="88" t="e">
        <f t="shared" si="18"/>
        <v>#VALUE!</v>
      </c>
      <c r="L266" s="73"/>
      <c r="M266" s="90">
        <f>R266*10^3+100</f>
        <v>7000</v>
      </c>
      <c r="N266" s="98">
        <f>N265</f>
        <v>101</v>
      </c>
      <c r="O266" s="99">
        <v>5</v>
      </c>
      <c r="P266" s="93" t="e">
        <f>'[1]Калибровочные значения'!#REF!</f>
        <v>#REF!</v>
      </c>
      <c r="Q266" s="94">
        <v>6.9059999999999997</v>
      </c>
      <c r="R266" s="95">
        <v>6.9</v>
      </c>
      <c r="S266">
        <v>1000</v>
      </c>
      <c r="T266" s="96">
        <f t="shared" si="19"/>
        <v>6906</v>
      </c>
    </row>
    <row r="267" spans="1:20" ht="13.5" thickBot="1" x14ac:dyDescent="0.25">
      <c r="A267" s="93"/>
      <c r="B267" s="83">
        <v>3</v>
      </c>
      <c r="C267" s="84">
        <v>70000</v>
      </c>
      <c r="D267" s="85" t="s">
        <v>10</v>
      </c>
      <c r="E267" s="86">
        <v>167.3</v>
      </c>
      <c r="F267" s="112"/>
      <c r="G267" s="84">
        <f t="shared" si="15"/>
        <v>72100</v>
      </c>
      <c r="H267" s="84">
        <f>G267-N267</f>
        <v>71999</v>
      </c>
      <c r="I267" s="87">
        <f t="shared" si="16"/>
        <v>2.8557142857142859</v>
      </c>
      <c r="J267" s="87">
        <f t="shared" si="17"/>
        <v>6.0147842355115309</v>
      </c>
      <c r="K267" s="88" t="e">
        <f t="shared" si="18"/>
        <v>#VALUE!</v>
      </c>
      <c r="L267" s="73"/>
      <c r="M267" s="100">
        <f>R267*10^3+100</f>
        <v>72100</v>
      </c>
      <c r="N267" s="98">
        <f>N265</f>
        <v>101</v>
      </c>
      <c r="O267" s="99">
        <v>4</v>
      </c>
      <c r="P267" s="101" t="e">
        <f>'[1]Калибровочные значения'!#REF!</f>
        <v>#REF!</v>
      </c>
      <c r="Q267" s="94">
        <v>70.12</v>
      </c>
      <c r="R267" s="95">
        <v>72</v>
      </c>
      <c r="S267">
        <v>1000</v>
      </c>
      <c r="T267" s="96">
        <f t="shared" si="19"/>
        <v>70120</v>
      </c>
    </row>
    <row r="268" spans="1:20" ht="13.5" thickBot="1" x14ac:dyDescent="0.25">
      <c r="A268" s="93"/>
      <c r="B268" s="83">
        <v>4</v>
      </c>
      <c r="C268" s="84">
        <v>700000</v>
      </c>
      <c r="D268" s="102" t="s">
        <v>10</v>
      </c>
      <c r="E268" s="86">
        <v>53.7</v>
      </c>
      <c r="F268" s="88"/>
      <c r="G268" s="84">
        <f t="shared" si="15"/>
        <v>680000</v>
      </c>
      <c r="H268" s="88"/>
      <c r="I268" s="87">
        <f t="shared" si="16"/>
        <v>-2.8571428571428572</v>
      </c>
      <c r="J268" s="87">
        <f t="shared" si="17"/>
        <v>6.015614438310072</v>
      </c>
      <c r="K268" s="88" t="e">
        <f t="shared" si="18"/>
        <v>#VALUE!</v>
      </c>
      <c r="L268" s="73"/>
      <c r="M268" s="100">
        <f>R268*10^6</f>
        <v>680000</v>
      </c>
      <c r="N268" s="103"/>
      <c r="O268" s="99">
        <v>4</v>
      </c>
      <c r="P268" s="93">
        <v>5</v>
      </c>
      <c r="Q268" s="94">
        <v>0.70920000000000005</v>
      </c>
      <c r="R268" s="95">
        <v>0.68</v>
      </c>
      <c r="S268">
        <v>1000000</v>
      </c>
      <c r="T268" s="96">
        <f t="shared" si="19"/>
        <v>709200</v>
      </c>
    </row>
    <row r="269" spans="1:20" ht="13.5" thickBot="1" x14ac:dyDescent="0.25">
      <c r="A269" s="93"/>
      <c r="B269" s="83">
        <v>5</v>
      </c>
      <c r="C269" s="84">
        <v>7000000</v>
      </c>
      <c r="D269" s="102" t="s">
        <v>11</v>
      </c>
      <c r="E269" s="86">
        <v>364.1</v>
      </c>
      <c r="F269" s="88"/>
      <c r="G269" s="84">
        <f t="shared" si="15"/>
        <v>7000000</v>
      </c>
      <c r="H269" s="88"/>
      <c r="I269" s="87">
        <f t="shared" si="16"/>
        <v>0</v>
      </c>
      <c r="J269" s="87">
        <f t="shared" si="17"/>
        <v>5.0999999999999996</v>
      </c>
      <c r="K269" s="88" t="e">
        <f t="shared" si="18"/>
        <v>#VALUE!</v>
      </c>
      <c r="L269" s="73"/>
      <c r="M269" s="100">
        <f>R269*10^6</f>
        <v>7000000</v>
      </c>
      <c r="N269" s="103"/>
      <c r="O269" s="99">
        <v>4</v>
      </c>
      <c r="P269" s="93"/>
      <c r="Q269" s="94">
        <v>7.5069999999999997</v>
      </c>
      <c r="R269" s="95">
        <v>7</v>
      </c>
      <c r="S269">
        <v>1000000</v>
      </c>
      <c r="T269" s="96">
        <f t="shared" si="19"/>
        <v>7507000</v>
      </c>
    </row>
    <row r="270" spans="1:20" ht="13.5" thickBot="1" x14ac:dyDescent="0.25">
      <c r="A270" s="93"/>
      <c r="B270" s="83">
        <v>6</v>
      </c>
      <c r="C270" s="84">
        <v>70000000</v>
      </c>
      <c r="D270" s="102" t="s">
        <v>11</v>
      </c>
      <c r="E270" s="86">
        <v>116.7</v>
      </c>
      <c r="F270" s="88"/>
      <c r="G270" s="84">
        <f t="shared" si="15"/>
        <v>68000000</v>
      </c>
      <c r="H270" s="88"/>
      <c r="I270" s="87">
        <f t="shared" si="16"/>
        <v>-2.8571428571428572</v>
      </c>
      <c r="J270" s="87">
        <f t="shared" si="17"/>
        <v>6.015614438310072</v>
      </c>
      <c r="K270" s="88" t="e">
        <f t="shared" si="18"/>
        <v>#VALUE!</v>
      </c>
      <c r="L270" s="73"/>
      <c r="M270" s="100">
        <f>R270*10^6</f>
        <v>68000000</v>
      </c>
      <c r="N270" s="103"/>
      <c r="O270" s="99">
        <v>4</v>
      </c>
      <c r="P270" s="93"/>
      <c r="Q270" s="94">
        <v>71.7</v>
      </c>
      <c r="R270" s="95">
        <v>68</v>
      </c>
      <c r="S270">
        <v>1000000</v>
      </c>
      <c r="T270" s="96">
        <f t="shared" si="19"/>
        <v>71700000</v>
      </c>
    </row>
    <row r="271" spans="1:20" ht="13.5" thickBot="1" x14ac:dyDescent="0.25">
      <c r="A271" s="93"/>
      <c r="B271" s="83">
        <v>7</v>
      </c>
      <c r="C271" s="84">
        <v>700000000</v>
      </c>
      <c r="D271" s="102" t="s">
        <v>12</v>
      </c>
      <c r="E271" s="86">
        <v>240.9</v>
      </c>
      <c r="F271" s="88"/>
      <c r="G271" s="84">
        <f t="shared" si="15"/>
        <v>720000000</v>
      </c>
      <c r="H271" s="88"/>
      <c r="I271" s="87">
        <f t="shared" si="16"/>
        <v>2.8571428571428572</v>
      </c>
      <c r="J271" s="87">
        <f t="shared" si="17"/>
        <v>6.015614438310072</v>
      </c>
      <c r="K271" s="88" t="e">
        <f t="shared" si="18"/>
        <v>#VALUE!</v>
      </c>
      <c r="L271" s="73"/>
      <c r="M271" s="100">
        <f>R271*10^9</f>
        <v>720000000</v>
      </c>
      <c r="N271" s="103"/>
      <c r="O271" s="99">
        <v>4</v>
      </c>
      <c r="P271" s="93"/>
      <c r="Q271" s="94">
        <v>0.70069999999999999</v>
      </c>
      <c r="R271" s="95">
        <v>0.72</v>
      </c>
      <c r="S271" s="104">
        <v>1000000000</v>
      </c>
      <c r="T271" s="96">
        <f t="shared" si="19"/>
        <v>700700000</v>
      </c>
    </row>
    <row r="272" spans="1:20" ht="13.5" thickBot="1" x14ac:dyDescent="0.25">
      <c r="A272" s="105"/>
      <c r="B272" s="83">
        <v>8</v>
      </c>
      <c r="C272" s="84">
        <v>7000000000</v>
      </c>
      <c r="D272" s="102" t="s">
        <v>12</v>
      </c>
      <c r="E272" s="86">
        <v>77.5</v>
      </c>
      <c r="F272" s="88"/>
      <c r="G272" s="84">
        <f t="shared" si="15"/>
        <v>7000000000</v>
      </c>
      <c r="H272" s="88"/>
      <c r="I272" s="87">
        <f t="shared" si="16"/>
        <v>0</v>
      </c>
      <c r="J272" s="87">
        <f t="shared" si="17"/>
        <v>5.0999999999999996</v>
      </c>
      <c r="K272" s="88" t="e">
        <f t="shared" si="18"/>
        <v>#VALUE!</v>
      </c>
      <c r="L272" s="106"/>
      <c r="M272" s="100">
        <f>R272*10^9</f>
        <v>7000000000</v>
      </c>
      <c r="N272" s="107"/>
      <c r="O272" s="108">
        <v>4</v>
      </c>
      <c r="P272" s="105"/>
      <c r="Q272" s="94">
        <v>6.9909999999999997</v>
      </c>
      <c r="R272" s="95">
        <v>7</v>
      </c>
      <c r="S272" s="104">
        <v>1000000000</v>
      </c>
      <c r="T272" s="96">
        <f t="shared" si="19"/>
        <v>6991000000</v>
      </c>
    </row>
    <row r="274" spans="1:20" x14ac:dyDescent="0.2">
      <c r="A274" s="110" t="s">
        <v>22</v>
      </c>
      <c r="B274" s="110"/>
      <c r="C274" s="110"/>
      <c r="D274" s="110"/>
    </row>
    <row r="275" spans="1:20" ht="12" thickBot="1" x14ac:dyDescent="0.25"/>
    <row r="276" spans="1:20" ht="13.5" thickBot="1" x14ac:dyDescent="0.25">
      <c r="A276" s="56"/>
      <c r="B276" s="57"/>
      <c r="C276" s="58" t="s">
        <v>0</v>
      </c>
      <c r="D276" s="57"/>
      <c r="E276" s="59"/>
      <c r="F276" s="60" t="s">
        <v>1</v>
      </c>
      <c r="G276" s="61"/>
      <c r="H276" s="59"/>
      <c r="I276" s="62"/>
      <c r="J276" s="63"/>
      <c r="K276" s="63"/>
      <c r="M276" s="64"/>
      <c r="O276" s="65"/>
    </row>
    <row r="277" spans="1:20" ht="12.75" x14ac:dyDescent="0.2">
      <c r="A277" s="56"/>
      <c r="B277" s="66"/>
      <c r="C277" s="67"/>
      <c r="D277" s="68"/>
      <c r="E277" s="69"/>
      <c r="F277" s="70"/>
      <c r="G277" s="70"/>
      <c r="H277" s="69"/>
      <c r="I277" s="71"/>
      <c r="J277" s="72"/>
      <c r="K277" s="72"/>
      <c r="L277" s="73"/>
      <c r="M277" s="64"/>
    </row>
    <row r="278" spans="1:20" ht="12.75" x14ac:dyDescent="0.2">
      <c r="A278" s="56"/>
      <c r="B278" s="66"/>
      <c r="C278" s="71"/>
      <c r="D278" s="67"/>
      <c r="E278" s="69"/>
      <c r="F278" s="70" t="s">
        <v>0</v>
      </c>
      <c r="G278" s="70" t="s">
        <v>0</v>
      </c>
      <c r="H278" s="69"/>
      <c r="I278" s="72"/>
      <c r="J278" s="72"/>
      <c r="K278" s="72"/>
      <c r="L278" s="73"/>
      <c r="M278" s="64"/>
    </row>
    <row r="279" spans="1:20" ht="13.5" thickBot="1" x14ac:dyDescent="0.25">
      <c r="A279" s="74"/>
      <c r="B279" s="75" t="s">
        <v>2</v>
      </c>
      <c r="C279" s="76" t="s">
        <v>3</v>
      </c>
      <c r="D279" s="77" t="s">
        <v>2</v>
      </c>
      <c r="E279" s="78" t="s">
        <v>4</v>
      </c>
      <c r="F279" s="79" t="s">
        <v>3</v>
      </c>
      <c r="G279" s="79" t="s">
        <v>3</v>
      </c>
      <c r="H279" s="78" t="s">
        <v>5</v>
      </c>
      <c r="I279" s="79" t="s">
        <v>6</v>
      </c>
      <c r="J279" s="79" t="s">
        <v>6</v>
      </c>
      <c r="K279" s="80">
        <v>0.15</v>
      </c>
      <c r="M279" s="64"/>
      <c r="N279" s="81" t="s">
        <v>7</v>
      </c>
    </row>
    <row r="280" spans="1:20" ht="14.25" thickTop="1" thickBot="1" x14ac:dyDescent="0.25">
      <c r="A280" s="82"/>
      <c r="B280" s="83">
        <v>1</v>
      </c>
      <c r="C280" s="84">
        <v>700</v>
      </c>
      <c r="D280" s="85" t="s">
        <v>8</v>
      </c>
      <c r="E280" s="86">
        <v>241.9</v>
      </c>
      <c r="F280" s="112">
        <f>N280</f>
        <v>101</v>
      </c>
      <c r="G280" s="84">
        <f t="shared" ref="G280:G287" si="20">M280</f>
        <v>800</v>
      </c>
      <c r="H280" s="84">
        <f>G280-N280</f>
        <v>699</v>
      </c>
      <c r="I280" s="87">
        <f t="shared" ref="I280:I287" si="21">((G280-N280)-C280)/C280*100</f>
        <v>-0.14285714285714285</v>
      </c>
      <c r="J280" s="87">
        <f t="shared" ref="J280:J287" si="22">1.1+SQRT(O280^2+I280^2)</f>
        <v>6.1020404000033128</v>
      </c>
      <c r="K280" s="88" t="e">
        <f t="shared" ref="K280:K287" si="23">TEXT(J280,"0.0")&amp;"&lt;15"</f>
        <v>#VALUE!</v>
      </c>
      <c r="L280" s="89"/>
      <c r="M280" s="90">
        <f>R280*10^3+100</f>
        <v>800</v>
      </c>
      <c r="N280" s="91">
        <v>101</v>
      </c>
      <c r="O280" s="92">
        <v>5</v>
      </c>
      <c r="P280" s="93">
        <f>A280</f>
        <v>0</v>
      </c>
      <c r="Q280" s="94">
        <v>0.82040000000000002</v>
      </c>
      <c r="R280" s="95">
        <v>0.7</v>
      </c>
      <c r="S280">
        <v>1000</v>
      </c>
      <c r="T280" s="96">
        <f t="shared" ref="T280:T287" si="24">Q280*S280</f>
        <v>820.4</v>
      </c>
    </row>
    <row r="281" spans="1:20" ht="13.5" thickBot="1" x14ac:dyDescent="0.25">
      <c r="A281" s="97" t="s">
        <v>21</v>
      </c>
      <c r="B281" s="83">
        <v>2</v>
      </c>
      <c r="C281" s="84">
        <v>7000</v>
      </c>
      <c r="D281" s="85" t="s">
        <v>8</v>
      </c>
      <c r="E281" s="86">
        <v>77.400000000000006</v>
      </c>
      <c r="F281" s="112"/>
      <c r="G281" s="84">
        <f t="shared" si="20"/>
        <v>7000</v>
      </c>
      <c r="H281" s="84">
        <f>G281-N281</f>
        <v>6899</v>
      </c>
      <c r="I281" s="87">
        <f t="shared" si="21"/>
        <v>-1.4428571428571428</v>
      </c>
      <c r="J281" s="87">
        <f t="shared" si="22"/>
        <v>6.3040212081325997</v>
      </c>
      <c r="K281" s="88" t="e">
        <f t="shared" si="23"/>
        <v>#VALUE!</v>
      </c>
      <c r="L281" s="73"/>
      <c r="M281" s="90">
        <f>R281*10^3+100</f>
        <v>7000</v>
      </c>
      <c r="N281" s="98">
        <f>N280</f>
        <v>101</v>
      </c>
      <c r="O281" s="99">
        <v>5</v>
      </c>
      <c r="P281" s="93" t="e">
        <f>'[1]Калибровочные значения'!#REF!</f>
        <v>#REF!</v>
      </c>
      <c r="Q281" s="94">
        <v>6.9059999999999997</v>
      </c>
      <c r="R281" s="95">
        <v>6.9</v>
      </c>
      <c r="S281">
        <v>1000</v>
      </c>
      <c r="T281" s="96">
        <f t="shared" si="24"/>
        <v>6906</v>
      </c>
    </row>
    <row r="282" spans="1:20" ht="13.5" thickBot="1" x14ac:dyDescent="0.25">
      <c r="A282" s="93"/>
      <c r="B282" s="83">
        <v>3</v>
      </c>
      <c r="C282" s="84">
        <v>70000</v>
      </c>
      <c r="D282" s="85" t="s">
        <v>10</v>
      </c>
      <c r="E282" s="86">
        <v>167.3</v>
      </c>
      <c r="F282" s="112"/>
      <c r="G282" s="84">
        <f t="shared" si="20"/>
        <v>70100</v>
      </c>
      <c r="H282" s="84">
        <f>G282-N282</f>
        <v>69999</v>
      </c>
      <c r="I282" s="87">
        <f t="shared" si="21"/>
        <v>-1.4285714285714286E-3</v>
      </c>
      <c r="J282" s="87">
        <f t="shared" si="22"/>
        <v>5.1000002551020334</v>
      </c>
      <c r="K282" s="88" t="e">
        <f t="shared" si="23"/>
        <v>#VALUE!</v>
      </c>
      <c r="L282" s="73"/>
      <c r="M282" s="100">
        <f>R282*10^3+100</f>
        <v>70100</v>
      </c>
      <c r="N282" s="98">
        <f>N280</f>
        <v>101</v>
      </c>
      <c r="O282" s="99">
        <v>4</v>
      </c>
      <c r="P282" s="101" t="e">
        <f>'[1]Калибровочные значения'!#REF!</f>
        <v>#REF!</v>
      </c>
      <c r="Q282" s="94">
        <v>70.12</v>
      </c>
      <c r="R282" s="95">
        <v>70</v>
      </c>
      <c r="S282">
        <v>1000</v>
      </c>
      <c r="T282" s="96">
        <f t="shared" si="24"/>
        <v>70120</v>
      </c>
    </row>
    <row r="283" spans="1:20" ht="13.5" thickBot="1" x14ac:dyDescent="0.25">
      <c r="A283" s="93"/>
      <c r="B283" s="83">
        <v>4</v>
      </c>
      <c r="C283" s="84">
        <v>700000</v>
      </c>
      <c r="D283" s="102" t="s">
        <v>10</v>
      </c>
      <c r="E283" s="86">
        <v>53.7</v>
      </c>
      <c r="F283" s="88"/>
      <c r="G283" s="84">
        <f t="shared" si="20"/>
        <v>680000</v>
      </c>
      <c r="H283" s="88"/>
      <c r="I283" s="87">
        <f t="shared" si="21"/>
        <v>-2.8571428571428572</v>
      </c>
      <c r="J283" s="87">
        <f t="shared" si="22"/>
        <v>6.015614438310072</v>
      </c>
      <c r="K283" s="88" t="e">
        <f t="shared" si="23"/>
        <v>#VALUE!</v>
      </c>
      <c r="L283" s="73"/>
      <c r="M283" s="100">
        <f>R283*10^6</f>
        <v>680000</v>
      </c>
      <c r="N283" s="103"/>
      <c r="O283" s="99">
        <v>4</v>
      </c>
      <c r="P283" s="93">
        <v>5</v>
      </c>
      <c r="Q283" s="94">
        <v>0.70920000000000005</v>
      </c>
      <c r="R283" s="95">
        <v>0.68</v>
      </c>
      <c r="S283">
        <v>1000000</v>
      </c>
      <c r="T283" s="96">
        <f t="shared" si="24"/>
        <v>709200</v>
      </c>
    </row>
    <row r="284" spans="1:20" ht="13.5" thickBot="1" x14ac:dyDescent="0.25">
      <c r="A284" s="93"/>
      <c r="B284" s="83">
        <v>5</v>
      </c>
      <c r="C284" s="84">
        <v>7000000</v>
      </c>
      <c r="D284" s="102" t="s">
        <v>11</v>
      </c>
      <c r="E284" s="86">
        <v>364.1</v>
      </c>
      <c r="F284" s="88"/>
      <c r="G284" s="84">
        <f t="shared" si="20"/>
        <v>7100000</v>
      </c>
      <c r="H284" s="88"/>
      <c r="I284" s="87">
        <f t="shared" si="21"/>
        <v>1.4285714285714286</v>
      </c>
      <c r="J284" s="87">
        <f t="shared" si="22"/>
        <v>5.3474482135195736</v>
      </c>
      <c r="K284" s="88" t="e">
        <f t="shared" si="23"/>
        <v>#VALUE!</v>
      </c>
      <c r="L284" s="73"/>
      <c r="M284" s="100">
        <f>R284*10^6</f>
        <v>7100000</v>
      </c>
      <c r="N284" s="103"/>
      <c r="O284" s="99">
        <v>4</v>
      </c>
      <c r="P284" s="93"/>
      <c r="Q284" s="94">
        <v>7.5069999999999997</v>
      </c>
      <c r="R284" s="95">
        <v>7.1</v>
      </c>
      <c r="S284">
        <v>1000000</v>
      </c>
      <c r="T284" s="96">
        <f t="shared" si="24"/>
        <v>7507000</v>
      </c>
    </row>
    <row r="285" spans="1:20" ht="13.5" thickBot="1" x14ac:dyDescent="0.25">
      <c r="A285" s="93"/>
      <c r="B285" s="83">
        <v>6</v>
      </c>
      <c r="C285" s="84">
        <v>70000000</v>
      </c>
      <c r="D285" s="102" t="s">
        <v>11</v>
      </c>
      <c r="E285" s="86">
        <v>116.7</v>
      </c>
      <c r="F285" s="88"/>
      <c r="G285" s="84">
        <f t="shared" si="20"/>
        <v>69000000</v>
      </c>
      <c r="H285" s="88"/>
      <c r="I285" s="87">
        <f t="shared" si="21"/>
        <v>-1.4285714285714286</v>
      </c>
      <c r="J285" s="87">
        <f t="shared" si="22"/>
        <v>5.3474482135195736</v>
      </c>
      <c r="K285" s="88" t="e">
        <f t="shared" si="23"/>
        <v>#VALUE!</v>
      </c>
      <c r="L285" s="73"/>
      <c r="M285" s="100">
        <f>R285*10^6</f>
        <v>69000000</v>
      </c>
      <c r="N285" s="103"/>
      <c r="O285" s="99">
        <v>4</v>
      </c>
      <c r="P285" s="93"/>
      <c r="Q285" s="94">
        <v>71.7</v>
      </c>
      <c r="R285" s="95">
        <v>69</v>
      </c>
      <c r="S285">
        <v>1000000</v>
      </c>
      <c r="T285" s="96">
        <f t="shared" si="24"/>
        <v>71700000</v>
      </c>
    </row>
    <row r="286" spans="1:20" ht="13.5" thickBot="1" x14ac:dyDescent="0.25">
      <c r="A286" s="93"/>
      <c r="B286" s="83">
        <v>7</v>
      </c>
      <c r="C286" s="84">
        <v>700000000</v>
      </c>
      <c r="D286" s="102" t="s">
        <v>12</v>
      </c>
      <c r="E286" s="86">
        <v>240.9</v>
      </c>
      <c r="F286" s="88"/>
      <c r="G286" s="84">
        <f t="shared" si="20"/>
        <v>700000000</v>
      </c>
      <c r="H286" s="88"/>
      <c r="I286" s="87">
        <f t="shared" si="21"/>
        <v>0</v>
      </c>
      <c r="J286" s="87">
        <f t="shared" si="22"/>
        <v>5.0999999999999996</v>
      </c>
      <c r="K286" s="88" t="e">
        <f t="shared" si="23"/>
        <v>#VALUE!</v>
      </c>
      <c r="L286" s="73"/>
      <c r="M286" s="100">
        <f>R286*10^9</f>
        <v>700000000</v>
      </c>
      <c r="N286" s="103"/>
      <c r="O286" s="99">
        <v>4</v>
      </c>
      <c r="P286" s="93"/>
      <c r="Q286" s="94">
        <v>0.70069999999999999</v>
      </c>
      <c r="R286" s="95">
        <v>0.7</v>
      </c>
      <c r="S286" s="104">
        <v>1000000000</v>
      </c>
      <c r="T286" s="96">
        <f t="shared" si="24"/>
        <v>700700000</v>
      </c>
    </row>
    <row r="287" spans="1:20" ht="13.5" thickBot="1" x14ac:dyDescent="0.25">
      <c r="A287" s="105"/>
      <c r="B287" s="83">
        <v>8</v>
      </c>
      <c r="C287" s="84">
        <v>7000000000</v>
      </c>
      <c r="D287" s="102" t="s">
        <v>12</v>
      </c>
      <c r="E287" s="86">
        <v>77.5</v>
      </c>
      <c r="F287" s="88"/>
      <c r="G287" s="84">
        <f t="shared" si="20"/>
        <v>6900000000</v>
      </c>
      <c r="H287" s="88"/>
      <c r="I287" s="87">
        <f t="shared" si="21"/>
        <v>-1.4285714285714286</v>
      </c>
      <c r="J287" s="87">
        <f t="shared" si="22"/>
        <v>5.3474482135195736</v>
      </c>
      <c r="K287" s="88" t="e">
        <f t="shared" si="23"/>
        <v>#VALUE!</v>
      </c>
      <c r="L287" s="106"/>
      <c r="M287" s="100">
        <f>R287*10^9</f>
        <v>6900000000</v>
      </c>
      <c r="N287" s="107"/>
      <c r="O287" s="108">
        <v>4</v>
      </c>
      <c r="P287" s="105"/>
      <c r="Q287" s="94">
        <v>6.9909999999999997</v>
      </c>
      <c r="R287" s="95">
        <v>6.9</v>
      </c>
      <c r="S287" s="104">
        <v>1000000000</v>
      </c>
      <c r="T287" s="96">
        <f t="shared" si="24"/>
        <v>6991000000</v>
      </c>
    </row>
    <row r="289" spans="1:20" x14ac:dyDescent="0.2">
      <c r="A289" s="110" t="s">
        <v>23</v>
      </c>
      <c r="B289" s="110"/>
      <c r="C289" s="110"/>
      <c r="D289" s="110"/>
    </row>
    <row r="291" spans="1:20" ht="12" thickBot="1" x14ac:dyDescent="0.25"/>
    <row r="292" spans="1:20" ht="13.5" thickBot="1" x14ac:dyDescent="0.25">
      <c r="A292" s="56"/>
      <c r="B292" s="57"/>
      <c r="C292" s="58" t="s">
        <v>0</v>
      </c>
      <c r="D292" s="57"/>
      <c r="E292" s="59"/>
      <c r="F292" s="60" t="s">
        <v>1</v>
      </c>
      <c r="G292" s="61"/>
      <c r="H292" s="59"/>
      <c r="I292" s="62"/>
      <c r="J292" s="63"/>
      <c r="K292" s="63"/>
      <c r="M292" s="64"/>
      <c r="O292" s="65"/>
    </row>
    <row r="293" spans="1:20" ht="12.75" x14ac:dyDescent="0.2">
      <c r="A293" s="56"/>
      <c r="B293" s="66"/>
      <c r="C293" s="67"/>
      <c r="D293" s="68"/>
      <c r="E293" s="69"/>
      <c r="F293" s="70"/>
      <c r="G293" s="70"/>
      <c r="H293" s="69"/>
      <c r="I293" s="71"/>
      <c r="J293" s="72"/>
      <c r="K293" s="72"/>
      <c r="L293" s="73"/>
      <c r="M293" s="64"/>
    </row>
    <row r="294" spans="1:20" ht="12.75" x14ac:dyDescent="0.2">
      <c r="A294" s="56"/>
      <c r="B294" s="66"/>
      <c r="C294" s="71"/>
      <c r="D294" s="67"/>
      <c r="E294" s="69"/>
      <c r="F294" s="70" t="s">
        <v>0</v>
      </c>
      <c r="G294" s="70" t="s">
        <v>0</v>
      </c>
      <c r="H294" s="69"/>
      <c r="I294" s="72"/>
      <c r="J294" s="72"/>
      <c r="K294" s="72"/>
      <c r="L294" s="73"/>
      <c r="M294" s="64"/>
    </row>
    <row r="295" spans="1:20" ht="13.5" thickBot="1" x14ac:dyDescent="0.25">
      <c r="A295" s="74"/>
      <c r="B295" s="75" t="s">
        <v>2</v>
      </c>
      <c r="C295" s="76" t="s">
        <v>3</v>
      </c>
      <c r="D295" s="77" t="s">
        <v>2</v>
      </c>
      <c r="E295" s="78" t="s">
        <v>4</v>
      </c>
      <c r="F295" s="79" t="s">
        <v>3</v>
      </c>
      <c r="G295" s="79" t="s">
        <v>3</v>
      </c>
      <c r="H295" s="78" t="s">
        <v>5</v>
      </c>
      <c r="I295" s="79" t="s">
        <v>6</v>
      </c>
      <c r="J295" s="79" t="s">
        <v>6</v>
      </c>
      <c r="K295" s="80">
        <v>0.15</v>
      </c>
      <c r="M295" s="64"/>
      <c r="N295" s="81" t="s">
        <v>7</v>
      </c>
    </row>
    <row r="296" spans="1:20" ht="14.25" thickTop="1" thickBot="1" x14ac:dyDescent="0.25">
      <c r="A296" s="82"/>
      <c r="B296" s="83">
        <v>1</v>
      </c>
      <c r="C296" s="84">
        <v>700</v>
      </c>
      <c r="D296" s="85" t="s">
        <v>8</v>
      </c>
      <c r="E296" s="86">
        <v>241.9</v>
      </c>
      <c r="F296" s="112">
        <f>N296</f>
        <v>112</v>
      </c>
      <c r="G296" s="84">
        <f t="shared" ref="G296:G303" si="25">M296</f>
        <v>800</v>
      </c>
      <c r="H296" s="84">
        <f>G296-N296</f>
        <v>688</v>
      </c>
      <c r="I296" s="87">
        <f t="shared" ref="I296:I303" si="26">((G296-N296)-C296)/C296*100</f>
        <v>-1.7142857142857144</v>
      </c>
      <c r="J296" s="87">
        <f t="shared" ref="J296:J303" si="27">1.1+SQRT(O296^2+I296^2)</f>
        <v>6.3857142857142861</v>
      </c>
      <c r="K296" s="88" t="e">
        <f t="shared" ref="K296:K303" si="28">TEXT(J296,"0.0")&amp;"&lt;15"</f>
        <v>#VALUE!</v>
      </c>
      <c r="L296" s="89"/>
      <c r="M296" s="90">
        <f>R296*10^3+100</f>
        <v>800</v>
      </c>
      <c r="N296" s="91">
        <v>112</v>
      </c>
      <c r="O296" s="92">
        <v>5</v>
      </c>
      <c r="P296" s="93">
        <f>A296</f>
        <v>0</v>
      </c>
      <c r="Q296" s="94">
        <v>0.82040000000000002</v>
      </c>
      <c r="R296" s="95">
        <v>0.7</v>
      </c>
      <c r="S296">
        <v>1000</v>
      </c>
      <c r="T296" s="96">
        <f t="shared" ref="T296:T303" si="29">Q296*S296</f>
        <v>820.4</v>
      </c>
    </row>
    <row r="297" spans="1:20" ht="13.5" thickBot="1" x14ac:dyDescent="0.25">
      <c r="A297" s="97" t="s">
        <v>24</v>
      </c>
      <c r="B297" s="83">
        <v>2</v>
      </c>
      <c r="C297" s="84">
        <v>7000</v>
      </c>
      <c r="D297" s="85" t="s">
        <v>8</v>
      </c>
      <c r="E297" s="86">
        <v>77.400000000000006</v>
      </c>
      <c r="F297" s="112"/>
      <c r="G297" s="84">
        <f t="shared" si="25"/>
        <v>7100</v>
      </c>
      <c r="H297" s="84">
        <f>G297-N297</f>
        <v>6988</v>
      </c>
      <c r="I297" s="87">
        <f t="shared" si="26"/>
        <v>-0.17142857142857143</v>
      </c>
      <c r="J297" s="87">
        <f t="shared" si="27"/>
        <v>6.1029379123772909</v>
      </c>
      <c r="K297" s="88" t="e">
        <f t="shared" si="28"/>
        <v>#VALUE!</v>
      </c>
      <c r="L297" s="73"/>
      <c r="M297" s="90">
        <f>R297*10^3+100</f>
        <v>7100</v>
      </c>
      <c r="N297" s="98">
        <f>N296</f>
        <v>112</v>
      </c>
      <c r="O297" s="99">
        <v>5</v>
      </c>
      <c r="P297" s="93" t="e">
        <f>'[1]Калибровочные значения'!#REF!</f>
        <v>#REF!</v>
      </c>
      <c r="Q297" s="94">
        <v>6.9059999999999997</v>
      </c>
      <c r="R297" s="95">
        <v>7</v>
      </c>
      <c r="S297">
        <v>1000</v>
      </c>
      <c r="T297" s="96">
        <f t="shared" si="29"/>
        <v>6906</v>
      </c>
    </row>
    <row r="298" spans="1:20" ht="13.5" thickBot="1" x14ac:dyDescent="0.25">
      <c r="A298" s="93"/>
      <c r="B298" s="83">
        <v>3</v>
      </c>
      <c r="C298" s="84">
        <v>70000</v>
      </c>
      <c r="D298" s="85" t="s">
        <v>10</v>
      </c>
      <c r="E298" s="86">
        <v>167.3</v>
      </c>
      <c r="F298" s="112"/>
      <c r="G298" s="84">
        <f t="shared" si="25"/>
        <v>71100</v>
      </c>
      <c r="H298" s="84">
        <f>G298-N298</f>
        <v>70988</v>
      </c>
      <c r="I298" s="87">
        <f t="shared" si="26"/>
        <v>1.4114285714285715</v>
      </c>
      <c r="J298" s="87">
        <f t="shared" si="27"/>
        <v>5.3417131694923565</v>
      </c>
      <c r="K298" s="88" t="e">
        <f t="shared" si="28"/>
        <v>#VALUE!</v>
      </c>
      <c r="L298" s="73"/>
      <c r="M298" s="100">
        <f>R298*10^3+100</f>
        <v>71100</v>
      </c>
      <c r="N298" s="98">
        <f>N296</f>
        <v>112</v>
      </c>
      <c r="O298" s="99">
        <v>4</v>
      </c>
      <c r="P298" s="101" t="e">
        <f>'[1]Калибровочные значения'!#REF!</f>
        <v>#REF!</v>
      </c>
      <c r="Q298" s="94">
        <v>70.12</v>
      </c>
      <c r="R298" s="95">
        <v>71</v>
      </c>
      <c r="S298">
        <v>1000</v>
      </c>
      <c r="T298" s="96">
        <f t="shared" si="29"/>
        <v>70120</v>
      </c>
    </row>
    <row r="299" spans="1:20" ht="13.5" thickBot="1" x14ac:dyDescent="0.25">
      <c r="A299" s="93"/>
      <c r="B299" s="83">
        <v>4</v>
      </c>
      <c r="C299" s="84">
        <v>700000</v>
      </c>
      <c r="D299" s="102" t="s">
        <v>10</v>
      </c>
      <c r="E299" s="86">
        <v>53.7</v>
      </c>
      <c r="F299" s="88"/>
      <c r="G299" s="84">
        <f t="shared" si="25"/>
        <v>700000</v>
      </c>
      <c r="H299" s="88"/>
      <c r="I299" s="87">
        <f t="shared" si="26"/>
        <v>0</v>
      </c>
      <c r="J299" s="87">
        <f t="shared" si="27"/>
        <v>5.0999999999999996</v>
      </c>
      <c r="K299" s="88" t="e">
        <f t="shared" si="28"/>
        <v>#VALUE!</v>
      </c>
      <c r="L299" s="73"/>
      <c r="M299" s="100">
        <f>R299*10^6</f>
        <v>700000</v>
      </c>
      <c r="N299" s="103"/>
      <c r="O299" s="99">
        <v>4</v>
      </c>
      <c r="P299" s="93">
        <v>5</v>
      </c>
      <c r="Q299" s="94">
        <v>0.70920000000000005</v>
      </c>
      <c r="R299" s="95">
        <v>0.7</v>
      </c>
      <c r="S299">
        <v>1000000</v>
      </c>
      <c r="T299" s="96">
        <f t="shared" si="29"/>
        <v>709200</v>
      </c>
    </row>
    <row r="300" spans="1:20" ht="13.5" thickBot="1" x14ac:dyDescent="0.25">
      <c r="A300" s="93"/>
      <c r="B300" s="83">
        <v>5</v>
      </c>
      <c r="C300" s="84">
        <v>7000000</v>
      </c>
      <c r="D300" s="102" t="s">
        <v>11</v>
      </c>
      <c r="E300" s="86">
        <v>364.1</v>
      </c>
      <c r="F300" s="88"/>
      <c r="G300" s="84">
        <f t="shared" si="25"/>
        <v>7000000</v>
      </c>
      <c r="H300" s="88"/>
      <c r="I300" s="87">
        <f t="shared" si="26"/>
        <v>0</v>
      </c>
      <c r="J300" s="87">
        <f t="shared" si="27"/>
        <v>5.0999999999999996</v>
      </c>
      <c r="K300" s="88" t="e">
        <f t="shared" si="28"/>
        <v>#VALUE!</v>
      </c>
      <c r="L300" s="73"/>
      <c r="M300" s="100">
        <f>R300*10^6</f>
        <v>7000000</v>
      </c>
      <c r="N300" s="103"/>
      <c r="O300" s="99">
        <v>4</v>
      </c>
      <c r="P300" s="93"/>
      <c r="Q300" s="94">
        <v>7.5069999999999997</v>
      </c>
      <c r="R300" s="95">
        <v>7</v>
      </c>
      <c r="S300">
        <v>1000000</v>
      </c>
      <c r="T300" s="96">
        <f t="shared" si="29"/>
        <v>7507000</v>
      </c>
    </row>
    <row r="301" spans="1:20" ht="13.5" thickBot="1" x14ac:dyDescent="0.25">
      <c r="A301" s="93"/>
      <c r="B301" s="83">
        <v>6</v>
      </c>
      <c r="C301" s="84">
        <v>70000000</v>
      </c>
      <c r="D301" s="102" t="s">
        <v>11</v>
      </c>
      <c r="E301" s="86">
        <v>116.7</v>
      </c>
      <c r="F301" s="88"/>
      <c r="G301" s="84">
        <f t="shared" si="25"/>
        <v>69000000</v>
      </c>
      <c r="H301" s="88"/>
      <c r="I301" s="87">
        <f t="shared" si="26"/>
        <v>-1.4285714285714286</v>
      </c>
      <c r="J301" s="87">
        <f t="shared" si="27"/>
        <v>5.3474482135195736</v>
      </c>
      <c r="K301" s="88" t="e">
        <f t="shared" si="28"/>
        <v>#VALUE!</v>
      </c>
      <c r="L301" s="73"/>
      <c r="M301" s="100">
        <f>R301*10^6</f>
        <v>69000000</v>
      </c>
      <c r="N301" s="103"/>
      <c r="O301" s="99">
        <v>4</v>
      </c>
      <c r="P301" s="93"/>
      <c r="Q301" s="94">
        <v>71.7</v>
      </c>
      <c r="R301" s="95">
        <v>69</v>
      </c>
      <c r="S301">
        <v>1000000</v>
      </c>
      <c r="T301" s="96">
        <f t="shared" si="29"/>
        <v>71700000</v>
      </c>
    </row>
    <row r="302" spans="1:20" ht="13.5" thickBot="1" x14ac:dyDescent="0.25">
      <c r="A302" s="93"/>
      <c r="B302" s="83">
        <v>7</v>
      </c>
      <c r="C302" s="84">
        <v>700000000</v>
      </c>
      <c r="D302" s="102" t="s">
        <v>12</v>
      </c>
      <c r="E302" s="86">
        <v>240.9</v>
      </c>
      <c r="F302" s="88"/>
      <c r="G302" s="84">
        <f t="shared" si="25"/>
        <v>700000000</v>
      </c>
      <c r="H302" s="88"/>
      <c r="I302" s="87">
        <f t="shared" si="26"/>
        <v>0</v>
      </c>
      <c r="J302" s="87">
        <f t="shared" si="27"/>
        <v>5.0999999999999996</v>
      </c>
      <c r="K302" s="88" t="e">
        <f t="shared" si="28"/>
        <v>#VALUE!</v>
      </c>
      <c r="L302" s="73"/>
      <c r="M302" s="100">
        <f>R302*10^9</f>
        <v>700000000</v>
      </c>
      <c r="N302" s="103"/>
      <c r="O302" s="99">
        <v>4</v>
      </c>
      <c r="P302" s="93"/>
      <c r="Q302" s="94">
        <v>0.70069999999999999</v>
      </c>
      <c r="R302" s="95">
        <v>0.7</v>
      </c>
      <c r="S302" s="104">
        <v>1000000000</v>
      </c>
      <c r="T302" s="96">
        <f t="shared" si="29"/>
        <v>700700000</v>
      </c>
    </row>
    <row r="303" spans="1:20" ht="13.5" thickBot="1" x14ac:dyDescent="0.25">
      <c r="A303" s="105"/>
      <c r="B303" s="83">
        <v>8</v>
      </c>
      <c r="C303" s="84">
        <v>7000000000</v>
      </c>
      <c r="D303" s="102" t="s">
        <v>12</v>
      </c>
      <c r="E303" s="86">
        <v>77.5</v>
      </c>
      <c r="F303" s="88"/>
      <c r="G303" s="84">
        <f t="shared" si="25"/>
        <v>7000000000</v>
      </c>
      <c r="H303" s="88"/>
      <c r="I303" s="87">
        <f t="shared" si="26"/>
        <v>0</v>
      </c>
      <c r="J303" s="87">
        <f t="shared" si="27"/>
        <v>5.0999999999999996</v>
      </c>
      <c r="K303" s="88" t="e">
        <f t="shared" si="28"/>
        <v>#VALUE!</v>
      </c>
      <c r="L303" s="106"/>
      <c r="M303" s="100">
        <f>R303*10^9</f>
        <v>7000000000</v>
      </c>
      <c r="N303" s="107"/>
      <c r="O303" s="108">
        <v>4</v>
      </c>
      <c r="P303" s="105"/>
      <c r="Q303" s="94">
        <v>6.9909999999999997</v>
      </c>
      <c r="R303" s="95">
        <v>7</v>
      </c>
      <c r="S303" s="104">
        <v>1000000000</v>
      </c>
      <c r="T303" s="96">
        <f t="shared" si="29"/>
        <v>6991000000</v>
      </c>
    </row>
    <row r="306" spans="1:20" ht="12" thickBot="1" x14ac:dyDescent="0.25"/>
    <row r="307" spans="1:20" ht="13.5" thickBot="1" x14ac:dyDescent="0.25">
      <c r="A307" s="56"/>
      <c r="B307" s="57"/>
      <c r="C307" s="58" t="s">
        <v>0</v>
      </c>
      <c r="D307" s="57"/>
      <c r="E307" s="59"/>
      <c r="F307" s="60" t="s">
        <v>1</v>
      </c>
      <c r="G307" s="61"/>
      <c r="H307" s="59"/>
      <c r="I307" s="62"/>
      <c r="J307" s="63"/>
      <c r="K307" s="63"/>
      <c r="M307" s="64"/>
      <c r="O307" s="65"/>
    </row>
    <row r="308" spans="1:20" ht="12.75" x14ac:dyDescent="0.2">
      <c r="A308" s="56"/>
      <c r="B308" s="66"/>
      <c r="C308" s="67"/>
      <c r="D308" s="68"/>
      <c r="E308" s="69"/>
      <c r="F308" s="70"/>
      <c r="G308" s="70"/>
      <c r="H308" s="69"/>
      <c r="I308" s="71"/>
      <c r="J308" s="72"/>
      <c r="K308" s="72"/>
      <c r="L308" s="73"/>
      <c r="M308" s="64"/>
    </row>
    <row r="309" spans="1:20" ht="12.75" x14ac:dyDescent="0.2">
      <c r="A309" s="56"/>
      <c r="B309" s="66"/>
      <c r="C309" s="71"/>
      <c r="D309" s="67"/>
      <c r="E309" s="69"/>
      <c r="F309" s="70" t="s">
        <v>0</v>
      </c>
      <c r="G309" s="70" t="s">
        <v>0</v>
      </c>
      <c r="H309" s="69"/>
      <c r="I309" s="72"/>
      <c r="J309" s="72"/>
      <c r="K309" s="72"/>
      <c r="L309" s="73"/>
      <c r="M309" s="64"/>
    </row>
    <row r="310" spans="1:20" ht="13.5" thickBot="1" x14ac:dyDescent="0.25">
      <c r="A310" s="74"/>
      <c r="B310" s="75" t="s">
        <v>2</v>
      </c>
      <c r="C310" s="76" t="s">
        <v>3</v>
      </c>
      <c r="D310" s="77" t="s">
        <v>2</v>
      </c>
      <c r="E310" s="78" t="s">
        <v>4</v>
      </c>
      <c r="F310" s="79" t="s">
        <v>3</v>
      </c>
      <c r="G310" s="79" t="s">
        <v>3</v>
      </c>
      <c r="H310" s="78" t="s">
        <v>5</v>
      </c>
      <c r="I310" s="79" t="s">
        <v>6</v>
      </c>
      <c r="J310" s="79" t="s">
        <v>6</v>
      </c>
      <c r="K310" s="80">
        <v>0.15</v>
      </c>
      <c r="M310" s="64"/>
      <c r="N310" s="81" t="s">
        <v>7</v>
      </c>
    </row>
    <row r="311" spans="1:20" ht="14.25" thickTop="1" thickBot="1" x14ac:dyDescent="0.25">
      <c r="A311" s="82"/>
      <c r="B311" s="83">
        <v>1</v>
      </c>
      <c r="C311" s="84">
        <v>700</v>
      </c>
      <c r="D311" s="85" t="s">
        <v>8</v>
      </c>
      <c r="E311" s="86">
        <v>241.9</v>
      </c>
      <c r="F311" s="112">
        <f>N311</f>
        <v>108</v>
      </c>
      <c r="G311" s="84">
        <f t="shared" ref="G311:G318" si="30">M311</f>
        <v>790</v>
      </c>
      <c r="H311" s="84">
        <f>G311-N311</f>
        <v>682</v>
      </c>
      <c r="I311" s="87">
        <f t="shared" ref="I311:I318" si="31">((G311-N311)-C311)/C311*100</f>
        <v>-2.5714285714285712</v>
      </c>
      <c r="J311" s="87">
        <f t="shared" ref="J311:J318" si="32">1.1+SQRT(O311^2+I311^2)</f>
        <v>6.7224767583298366</v>
      </c>
      <c r="K311" s="88" t="e">
        <f t="shared" ref="K311:K318" si="33">TEXT(J311,"0.0")&amp;"&lt;15"</f>
        <v>#VALUE!</v>
      </c>
      <c r="L311" s="89"/>
      <c r="M311" s="90">
        <f>R311*10^3+100</f>
        <v>790</v>
      </c>
      <c r="N311" s="91">
        <v>108</v>
      </c>
      <c r="O311" s="92">
        <v>5</v>
      </c>
      <c r="P311" s="93">
        <f>A311</f>
        <v>0</v>
      </c>
      <c r="Q311" s="94">
        <v>0.82040000000000002</v>
      </c>
      <c r="R311" s="95">
        <v>0.69</v>
      </c>
      <c r="S311">
        <v>1000</v>
      </c>
      <c r="T311" s="96">
        <f t="shared" ref="T311:T318" si="34">Q311*S311</f>
        <v>820.4</v>
      </c>
    </row>
    <row r="312" spans="1:20" ht="13.5" thickBot="1" x14ac:dyDescent="0.25">
      <c r="A312" s="97" t="s">
        <v>25</v>
      </c>
      <c r="B312" s="83">
        <v>2</v>
      </c>
      <c r="C312" s="84">
        <v>7000</v>
      </c>
      <c r="D312" s="85" t="s">
        <v>8</v>
      </c>
      <c r="E312" s="86">
        <v>77.400000000000006</v>
      </c>
      <c r="F312" s="112"/>
      <c r="G312" s="84">
        <f t="shared" si="30"/>
        <v>7200</v>
      </c>
      <c r="H312" s="84">
        <f>G312-N312</f>
        <v>7092</v>
      </c>
      <c r="I312" s="87">
        <f t="shared" si="31"/>
        <v>1.3142857142857143</v>
      </c>
      <c r="J312" s="87">
        <f t="shared" si="32"/>
        <v>6.2698497984734054</v>
      </c>
      <c r="K312" s="88" t="e">
        <f t="shared" si="33"/>
        <v>#VALUE!</v>
      </c>
      <c r="L312" s="73"/>
      <c r="M312" s="90">
        <f>R312*10^3+100</f>
        <v>7200</v>
      </c>
      <c r="N312" s="98">
        <f>N311</f>
        <v>108</v>
      </c>
      <c r="O312" s="99">
        <v>5</v>
      </c>
      <c r="P312" s="93" t="e">
        <f>'[1]Калибровочные значения'!#REF!</f>
        <v>#REF!</v>
      </c>
      <c r="Q312" s="94">
        <v>6.9059999999999997</v>
      </c>
      <c r="R312" s="95">
        <v>7.1</v>
      </c>
      <c r="S312">
        <v>1000</v>
      </c>
      <c r="T312" s="96">
        <f t="shared" si="34"/>
        <v>6906</v>
      </c>
    </row>
    <row r="313" spans="1:20" ht="13.5" thickBot="1" x14ac:dyDescent="0.25">
      <c r="A313" s="93"/>
      <c r="B313" s="83">
        <v>3</v>
      </c>
      <c r="C313" s="84">
        <v>70000</v>
      </c>
      <c r="D313" s="85" t="s">
        <v>10</v>
      </c>
      <c r="E313" s="86">
        <v>167.3</v>
      </c>
      <c r="F313" s="112"/>
      <c r="G313" s="84">
        <f t="shared" si="30"/>
        <v>71100</v>
      </c>
      <c r="H313" s="84">
        <f>G313-N313</f>
        <v>70992</v>
      </c>
      <c r="I313" s="87">
        <f t="shared" si="31"/>
        <v>1.417142857142857</v>
      </c>
      <c r="J313" s="87">
        <f t="shared" si="32"/>
        <v>5.3436180173940038</v>
      </c>
      <c r="K313" s="88" t="e">
        <f t="shared" si="33"/>
        <v>#VALUE!</v>
      </c>
      <c r="L313" s="73"/>
      <c r="M313" s="100">
        <f>R313*10^3+100</f>
        <v>71100</v>
      </c>
      <c r="N313" s="98">
        <f>N311</f>
        <v>108</v>
      </c>
      <c r="O313" s="99">
        <v>4</v>
      </c>
      <c r="P313" s="101" t="e">
        <f>'[1]Калибровочные значения'!#REF!</f>
        <v>#REF!</v>
      </c>
      <c r="Q313" s="94">
        <v>70.12</v>
      </c>
      <c r="R313" s="95">
        <v>71</v>
      </c>
      <c r="S313">
        <v>1000</v>
      </c>
      <c r="T313" s="96">
        <f t="shared" si="34"/>
        <v>70120</v>
      </c>
    </row>
    <row r="314" spans="1:20" ht="13.5" thickBot="1" x14ac:dyDescent="0.25">
      <c r="A314" s="93"/>
      <c r="B314" s="83">
        <v>4</v>
      </c>
      <c r="C314" s="84">
        <v>700000</v>
      </c>
      <c r="D314" s="102" t="s">
        <v>10</v>
      </c>
      <c r="E314" s="86">
        <v>53.7</v>
      </c>
      <c r="F314" s="88"/>
      <c r="G314" s="84">
        <f t="shared" si="30"/>
        <v>700000</v>
      </c>
      <c r="H314" s="88"/>
      <c r="I314" s="87">
        <f t="shared" si="31"/>
        <v>0</v>
      </c>
      <c r="J314" s="87">
        <f t="shared" si="32"/>
        <v>5.0999999999999996</v>
      </c>
      <c r="K314" s="88" t="e">
        <f t="shared" si="33"/>
        <v>#VALUE!</v>
      </c>
      <c r="L314" s="73"/>
      <c r="M314" s="100">
        <f>R314*10^6</f>
        <v>700000</v>
      </c>
      <c r="N314" s="103"/>
      <c r="O314" s="99">
        <v>4</v>
      </c>
      <c r="P314" s="93">
        <v>5</v>
      </c>
      <c r="Q314" s="94">
        <v>0.70920000000000005</v>
      </c>
      <c r="R314" s="95">
        <v>0.7</v>
      </c>
      <c r="S314">
        <v>1000000</v>
      </c>
      <c r="T314" s="96">
        <f t="shared" si="34"/>
        <v>709200</v>
      </c>
    </row>
    <row r="315" spans="1:20" ht="13.5" thickBot="1" x14ac:dyDescent="0.25">
      <c r="A315" s="93"/>
      <c r="B315" s="83">
        <v>5</v>
      </c>
      <c r="C315" s="84">
        <v>7000000</v>
      </c>
      <c r="D315" s="102" t="s">
        <v>11</v>
      </c>
      <c r="E315" s="86">
        <v>364.1</v>
      </c>
      <c r="F315" s="88"/>
      <c r="G315" s="84">
        <f t="shared" si="30"/>
        <v>7000000</v>
      </c>
      <c r="H315" s="88"/>
      <c r="I315" s="87">
        <f t="shared" si="31"/>
        <v>0</v>
      </c>
      <c r="J315" s="87">
        <f t="shared" si="32"/>
        <v>5.0999999999999996</v>
      </c>
      <c r="K315" s="88" t="e">
        <f t="shared" si="33"/>
        <v>#VALUE!</v>
      </c>
      <c r="L315" s="73"/>
      <c r="M315" s="100">
        <f>R315*10^6</f>
        <v>7000000</v>
      </c>
      <c r="N315" s="103"/>
      <c r="O315" s="99">
        <v>4</v>
      </c>
      <c r="P315" s="93"/>
      <c r="Q315" s="94">
        <v>7.5069999999999997</v>
      </c>
      <c r="R315" s="95">
        <v>7</v>
      </c>
      <c r="S315">
        <v>1000000</v>
      </c>
      <c r="T315" s="96">
        <f t="shared" si="34"/>
        <v>7507000</v>
      </c>
    </row>
    <row r="316" spans="1:20" ht="13.5" thickBot="1" x14ac:dyDescent="0.25">
      <c r="A316" s="93"/>
      <c r="B316" s="83">
        <v>6</v>
      </c>
      <c r="C316" s="84">
        <v>70000000</v>
      </c>
      <c r="D316" s="102" t="s">
        <v>11</v>
      </c>
      <c r="E316" s="86">
        <v>116.7</v>
      </c>
      <c r="F316" s="88"/>
      <c r="G316" s="84">
        <f t="shared" si="30"/>
        <v>67000000</v>
      </c>
      <c r="H316" s="88"/>
      <c r="I316" s="87">
        <f t="shared" si="31"/>
        <v>-4.2857142857142856</v>
      </c>
      <c r="J316" s="87">
        <f t="shared" si="32"/>
        <v>6.9623670081951978</v>
      </c>
      <c r="K316" s="88" t="e">
        <f t="shared" si="33"/>
        <v>#VALUE!</v>
      </c>
      <c r="L316" s="73"/>
      <c r="M316" s="100">
        <f>R316*10^6</f>
        <v>67000000</v>
      </c>
      <c r="N316" s="103"/>
      <c r="O316" s="99">
        <v>4</v>
      </c>
      <c r="P316" s="93"/>
      <c r="Q316" s="94">
        <v>71.7</v>
      </c>
      <c r="R316" s="95">
        <v>67</v>
      </c>
      <c r="S316">
        <v>1000000</v>
      </c>
      <c r="T316" s="96">
        <f t="shared" si="34"/>
        <v>71700000</v>
      </c>
    </row>
    <row r="317" spans="1:20" ht="13.5" thickBot="1" x14ac:dyDescent="0.25">
      <c r="A317" s="93"/>
      <c r="B317" s="83">
        <v>7</v>
      </c>
      <c r="C317" s="84">
        <v>700000000</v>
      </c>
      <c r="D317" s="102" t="s">
        <v>12</v>
      </c>
      <c r="E317" s="86">
        <v>240.9</v>
      </c>
      <c r="F317" s="88"/>
      <c r="G317" s="84">
        <f t="shared" si="30"/>
        <v>680000000</v>
      </c>
      <c r="H317" s="88"/>
      <c r="I317" s="87">
        <f t="shared" si="31"/>
        <v>-2.8571428571428572</v>
      </c>
      <c r="J317" s="87">
        <f t="shared" si="32"/>
        <v>6.015614438310072</v>
      </c>
      <c r="K317" s="88" t="e">
        <f t="shared" si="33"/>
        <v>#VALUE!</v>
      </c>
      <c r="L317" s="73"/>
      <c r="M317" s="100">
        <f>R317*10^9</f>
        <v>680000000</v>
      </c>
      <c r="N317" s="103"/>
      <c r="O317" s="99">
        <v>4</v>
      </c>
      <c r="P317" s="93"/>
      <c r="Q317" s="94">
        <v>0.70069999999999999</v>
      </c>
      <c r="R317" s="95">
        <v>0.68</v>
      </c>
      <c r="S317" s="104">
        <v>1000000000</v>
      </c>
      <c r="T317" s="96">
        <f t="shared" si="34"/>
        <v>700700000</v>
      </c>
    </row>
    <row r="318" spans="1:20" ht="13.5" thickBot="1" x14ac:dyDescent="0.25">
      <c r="A318" s="105"/>
      <c r="B318" s="83">
        <v>8</v>
      </c>
      <c r="C318" s="84">
        <v>7000000000</v>
      </c>
      <c r="D318" s="102" t="s">
        <v>12</v>
      </c>
      <c r="E318" s="86">
        <v>77.5</v>
      </c>
      <c r="F318" s="88"/>
      <c r="G318" s="84">
        <f t="shared" si="30"/>
        <v>7200000000</v>
      </c>
      <c r="H318" s="88"/>
      <c r="I318" s="87">
        <f t="shared" si="31"/>
        <v>2.8571428571428572</v>
      </c>
      <c r="J318" s="87">
        <f t="shared" si="32"/>
        <v>6.015614438310072</v>
      </c>
      <c r="K318" s="88" t="e">
        <f t="shared" si="33"/>
        <v>#VALUE!</v>
      </c>
      <c r="L318" s="106"/>
      <c r="M318" s="100">
        <f>R318*10^9</f>
        <v>7200000000</v>
      </c>
      <c r="N318" s="107"/>
      <c r="O318" s="108">
        <v>4</v>
      </c>
      <c r="P318" s="105"/>
      <c r="Q318" s="94">
        <v>6.9909999999999997</v>
      </c>
      <c r="R318" s="95">
        <v>7.2</v>
      </c>
      <c r="S318" s="104">
        <v>1000000000</v>
      </c>
      <c r="T318" s="96">
        <f t="shared" si="34"/>
        <v>6991000000</v>
      </c>
    </row>
    <row r="321" spans="1:20" ht="12" thickBot="1" x14ac:dyDescent="0.25"/>
    <row r="322" spans="1:20" ht="13.5" thickBot="1" x14ac:dyDescent="0.25">
      <c r="A322" s="56"/>
      <c r="B322" s="57"/>
      <c r="C322" s="58" t="s">
        <v>0</v>
      </c>
      <c r="D322" s="57"/>
      <c r="E322" s="59"/>
      <c r="F322" s="60" t="s">
        <v>1</v>
      </c>
      <c r="G322" s="61"/>
      <c r="H322" s="59"/>
      <c r="I322" s="62"/>
      <c r="J322" s="63"/>
      <c r="K322" s="63"/>
      <c r="M322" s="64"/>
      <c r="O322" s="65"/>
    </row>
    <row r="323" spans="1:20" ht="12.75" x14ac:dyDescent="0.2">
      <c r="A323" s="56"/>
      <c r="B323" s="66"/>
      <c r="C323" s="67"/>
      <c r="D323" s="68"/>
      <c r="E323" s="69"/>
      <c r="F323" s="70"/>
      <c r="G323" s="70"/>
      <c r="H323" s="69"/>
      <c r="I323" s="71"/>
      <c r="J323" s="72"/>
      <c r="K323" s="72"/>
      <c r="L323" s="73"/>
      <c r="M323" s="64"/>
    </row>
    <row r="324" spans="1:20" ht="12.75" x14ac:dyDescent="0.2">
      <c r="A324" s="56"/>
      <c r="B324" s="66"/>
      <c r="C324" s="71"/>
      <c r="D324" s="67"/>
      <c r="E324" s="69"/>
      <c r="F324" s="70" t="s">
        <v>0</v>
      </c>
      <c r="G324" s="70" t="s">
        <v>0</v>
      </c>
      <c r="H324" s="69"/>
      <c r="I324" s="72"/>
      <c r="J324" s="72"/>
      <c r="K324" s="72"/>
      <c r="L324" s="73"/>
      <c r="M324" s="64"/>
    </row>
    <row r="325" spans="1:20" ht="13.5" thickBot="1" x14ac:dyDescent="0.25">
      <c r="A325" s="74"/>
      <c r="B325" s="75" t="s">
        <v>2</v>
      </c>
      <c r="C325" s="76" t="s">
        <v>3</v>
      </c>
      <c r="D325" s="77" t="s">
        <v>2</v>
      </c>
      <c r="E325" s="78" t="s">
        <v>4</v>
      </c>
      <c r="F325" s="79" t="s">
        <v>3</v>
      </c>
      <c r="G325" s="79" t="s">
        <v>3</v>
      </c>
      <c r="H325" s="78" t="s">
        <v>5</v>
      </c>
      <c r="I325" s="79" t="s">
        <v>6</v>
      </c>
      <c r="J325" s="79" t="s">
        <v>6</v>
      </c>
      <c r="K325" s="80">
        <v>0.15</v>
      </c>
      <c r="M325" s="64"/>
      <c r="N325" s="81" t="s">
        <v>7</v>
      </c>
    </row>
    <row r="326" spans="1:20" ht="14.25" thickTop="1" thickBot="1" x14ac:dyDescent="0.25">
      <c r="A326" s="82"/>
      <c r="B326" s="83">
        <v>1</v>
      </c>
      <c r="C326" s="84">
        <v>700</v>
      </c>
      <c r="D326" s="85" t="s">
        <v>8</v>
      </c>
      <c r="E326" s="86">
        <v>241.9</v>
      </c>
      <c r="F326" s="112">
        <f>N326</f>
        <v>106</v>
      </c>
      <c r="G326" s="84">
        <f t="shared" ref="G326:G333" si="35">M326</f>
        <v>790</v>
      </c>
      <c r="H326" s="84">
        <f>G326-N326</f>
        <v>684</v>
      </c>
      <c r="I326" s="87">
        <f t="shared" ref="I326:I333" si="36">((G326-N326)-C326)/C326*100</f>
        <v>-2.2857142857142856</v>
      </c>
      <c r="J326" s="87">
        <f t="shared" ref="J326:J333" si="37">1.1+SQRT(O326^2+I326^2)</f>
        <v>6.5976804013982449</v>
      </c>
      <c r="K326" s="88" t="e">
        <f t="shared" ref="K326:K333" si="38">TEXT(J326,"0.0")&amp;"&lt;15"</f>
        <v>#VALUE!</v>
      </c>
      <c r="L326" s="89"/>
      <c r="M326" s="90">
        <f>R326*10^3+100</f>
        <v>790</v>
      </c>
      <c r="N326" s="91">
        <v>106</v>
      </c>
      <c r="O326" s="92">
        <v>5</v>
      </c>
      <c r="P326" s="93">
        <f>A326</f>
        <v>0</v>
      </c>
      <c r="Q326" s="94">
        <v>0.82040000000000002</v>
      </c>
      <c r="R326" s="95">
        <v>0.69</v>
      </c>
      <c r="S326">
        <v>1000</v>
      </c>
      <c r="T326" s="96">
        <f t="shared" ref="T326:T333" si="39">Q326*S326</f>
        <v>820.4</v>
      </c>
    </row>
    <row r="327" spans="1:20" ht="13.5" thickBot="1" x14ac:dyDescent="0.25">
      <c r="A327" s="97" t="s">
        <v>26</v>
      </c>
      <c r="B327" s="83">
        <v>2</v>
      </c>
      <c r="C327" s="84">
        <v>7000</v>
      </c>
      <c r="D327" s="85" t="s">
        <v>8</v>
      </c>
      <c r="E327" s="86">
        <v>77.400000000000006</v>
      </c>
      <c r="F327" s="112"/>
      <c r="G327" s="84">
        <f t="shared" si="35"/>
        <v>7100</v>
      </c>
      <c r="H327" s="84">
        <f>G327-N327</f>
        <v>6994</v>
      </c>
      <c r="I327" s="87">
        <f t="shared" si="36"/>
        <v>-8.5714285714285715E-2</v>
      </c>
      <c r="J327" s="87">
        <f t="shared" si="37"/>
        <v>6.1007346399079712</v>
      </c>
      <c r="K327" s="88" t="e">
        <f t="shared" si="38"/>
        <v>#VALUE!</v>
      </c>
      <c r="L327" s="73"/>
      <c r="M327" s="90">
        <f>R327*10^3+100</f>
        <v>7100</v>
      </c>
      <c r="N327" s="98">
        <f>N326</f>
        <v>106</v>
      </c>
      <c r="O327" s="99">
        <v>5</v>
      </c>
      <c r="P327" s="93" t="e">
        <f>'[1]Калибровочные значения'!#REF!</f>
        <v>#REF!</v>
      </c>
      <c r="Q327" s="94">
        <v>6.9059999999999997</v>
      </c>
      <c r="R327" s="95">
        <v>7</v>
      </c>
      <c r="S327">
        <v>1000</v>
      </c>
      <c r="T327" s="96">
        <f t="shared" si="39"/>
        <v>6906</v>
      </c>
    </row>
    <row r="328" spans="1:20" ht="13.5" thickBot="1" x14ac:dyDescent="0.25">
      <c r="A328" s="93"/>
      <c r="B328" s="83">
        <v>3</v>
      </c>
      <c r="C328" s="84">
        <v>70000</v>
      </c>
      <c r="D328" s="85" t="s">
        <v>10</v>
      </c>
      <c r="E328" s="86">
        <v>167.3</v>
      </c>
      <c r="F328" s="112"/>
      <c r="G328" s="84">
        <f t="shared" si="35"/>
        <v>73100</v>
      </c>
      <c r="H328" s="84">
        <f>G328-N328</f>
        <v>72994</v>
      </c>
      <c r="I328" s="87">
        <f t="shared" si="36"/>
        <v>4.2771428571428576</v>
      </c>
      <c r="J328" s="87">
        <f t="shared" si="37"/>
        <v>6.9561037405777029</v>
      </c>
      <c r="K328" s="88" t="e">
        <f t="shared" si="38"/>
        <v>#VALUE!</v>
      </c>
      <c r="L328" s="73"/>
      <c r="M328" s="100">
        <f>R328*10^3+100</f>
        <v>73100</v>
      </c>
      <c r="N328" s="98">
        <f>N326</f>
        <v>106</v>
      </c>
      <c r="O328" s="99">
        <v>4</v>
      </c>
      <c r="P328" s="101" t="e">
        <f>'[1]Калибровочные значения'!#REF!</f>
        <v>#REF!</v>
      </c>
      <c r="Q328" s="94">
        <v>70.12</v>
      </c>
      <c r="R328" s="95">
        <v>73</v>
      </c>
      <c r="S328">
        <v>1000</v>
      </c>
      <c r="T328" s="96">
        <f t="shared" si="39"/>
        <v>70120</v>
      </c>
    </row>
    <row r="329" spans="1:20" ht="13.5" thickBot="1" x14ac:dyDescent="0.25">
      <c r="A329" s="93"/>
      <c r="B329" s="83">
        <v>4</v>
      </c>
      <c r="C329" s="84">
        <v>700000</v>
      </c>
      <c r="D329" s="102" t="s">
        <v>10</v>
      </c>
      <c r="E329" s="86">
        <v>53.7</v>
      </c>
      <c r="F329" s="88"/>
      <c r="G329" s="84">
        <f t="shared" si="35"/>
        <v>700000</v>
      </c>
      <c r="H329" s="88"/>
      <c r="I329" s="87">
        <f t="shared" si="36"/>
        <v>0</v>
      </c>
      <c r="J329" s="87">
        <f t="shared" si="37"/>
        <v>5.0999999999999996</v>
      </c>
      <c r="K329" s="88" t="e">
        <f t="shared" si="38"/>
        <v>#VALUE!</v>
      </c>
      <c r="L329" s="73"/>
      <c r="M329" s="100">
        <f>R329*10^6</f>
        <v>700000</v>
      </c>
      <c r="N329" s="103"/>
      <c r="O329" s="99">
        <v>4</v>
      </c>
      <c r="P329" s="93">
        <v>5</v>
      </c>
      <c r="Q329" s="94">
        <v>0.70920000000000005</v>
      </c>
      <c r="R329" s="95">
        <v>0.7</v>
      </c>
      <c r="S329">
        <v>1000000</v>
      </c>
      <c r="T329" s="96">
        <f t="shared" si="39"/>
        <v>709200</v>
      </c>
    </row>
    <row r="330" spans="1:20" ht="13.5" thickBot="1" x14ac:dyDescent="0.25">
      <c r="A330" s="93"/>
      <c r="B330" s="83">
        <v>5</v>
      </c>
      <c r="C330" s="84">
        <v>7000000</v>
      </c>
      <c r="D330" s="102" t="s">
        <v>11</v>
      </c>
      <c r="E330" s="86">
        <v>364.1</v>
      </c>
      <c r="F330" s="88"/>
      <c r="G330" s="84">
        <f t="shared" si="35"/>
        <v>7100000</v>
      </c>
      <c r="H330" s="88"/>
      <c r="I330" s="87">
        <f t="shared" si="36"/>
        <v>1.4285714285714286</v>
      </c>
      <c r="J330" s="87">
        <f t="shared" si="37"/>
        <v>5.3474482135195736</v>
      </c>
      <c r="K330" s="88" t="e">
        <f t="shared" si="38"/>
        <v>#VALUE!</v>
      </c>
      <c r="L330" s="73"/>
      <c r="M330" s="100">
        <f>R330*10^6</f>
        <v>7100000</v>
      </c>
      <c r="N330" s="103"/>
      <c r="O330" s="99">
        <v>4</v>
      </c>
      <c r="P330" s="93"/>
      <c r="Q330" s="94">
        <v>7.5069999999999997</v>
      </c>
      <c r="R330" s="95">
        <v>7.1</v>
      </c>
      <c r="S330">
        <v>1000000</v>
      </c>
      <c r="T330" s="96">
        <f t="shared" si="39"/>
        <v>7507000</v>
      </c>
    </row>
    <row r="331" spans="1:20" ht="13.5" thickBot="1" x14ac:dyDescent="0.25">
      <c r="A331" s="93"/>
      <c r="B331" s="83">
        <v>6</v>
      </c>
      <c r="C331" s="84">
        <v>70000000</v>
      </c>
      <c r="D331" s="102" t="s">
        <v>11</v>
      </c>
      <c r="E331" s="86">
        <v>116.7</v>
      </c>
      <c r="F331" s="88"/>
      <c r="G331" s="84">
        <f t="shared" si="35"/>
        <v>70000000</v>
      </c>
      <c r="H331" s="88"/>
      <c r="I331" s="87">
        <f t="shared" si="36"/>
        <v>0</v>
      </c>
      <c r="J331" s="87">
        <f t="shared" si="37"/>
        <v>5.0999999999999996</v>
      </c>
      <c r="K331" s="88" t="e">
        <f t="shared" si="38"/>
        <v>#VALUE!</v>
      </c>
      <c r="L331" s="73"/>
      <c r="M331" s="100">
        <f>R331*10^6</f>
        <v>70000000</v>
      </c>
      <c r="N331" s="103"/>
      <c r="O331" s="99">
        <v>4</v>
      </c>
      <c r="P331" s="93"/>
      <c r="Q331" s="94">
        <v>71.7</v>
      </c>
      <c r="R331" s="95">
        <v>70</v>
      </c>
      <c r="S331">
        <v>1000000</v>
      </c>
      <c r="T331" s="96">
        <f t="shared" si="39"/>
        <v>71700000</v>
      </c>
    </row>
    <row r="332" spans="1:20" ht="13.5" thickBot="1" x14ac:dyDescent="0.25">
      <c r="A332" s="93"/>
      <c r="B332" s="83">
        <v>7</v>
      </c>
      <c r="C332" s="84">
        <v>700000000</v>
      </c>
      <c r="D332" s="102" t="s">
        <v>12</v>
      </c>
      <c r="E332" s="86">
        <v>240.9</v>
      </c>
      <c r="F332" s="88"/>
      <c r="G332" s="84">
        <f t="shared" si="35"/>
        <v>690000000</v>
      </c>
      <c r="H332" s="88"/>
      <c r="I332" s="87">
        <f t="shared" si="36"/>
        <v>-1.4285714285714286</v>
      </c>
      <c r="J332" s="87">
        <f t="shared" si="37"/>
        <v>5.3474482135195736</v>
      </c>
      <c r="K332" s="88" t="e">
        <f t="shared" si="38"/>
        <v>#VALUE!</v>
      </c>
      <c r="L332" s="73"/>
      <c r="M332" s="100">
        <f>R332*10^9</f>
        <v>690000000</v>
      </c>
      <c r="N332" s="103"/>
      <c r="O332" s="99">
        <v>4</v>
      </c>
      <c r="P332" s="93"/>
      <c r="Q332" s="94">
        <v>0.70069999999999999</v>
      </c>
      <c r="R332" s="95">
        <v>0.69</v>
      </c>
      <c r="S332" s="104">
        <v>1000000000</v>
      </c>
      <c r="T332" s="96">
        <f t="shared" si="39"/>
        <v>700700000</v>
      </c>
    </row>
    <row r="333" spans="1:20" ht="13.5" thickBot="1" x14ac:dyDescent="0.25">
      <c r="A333" s="105"/>
      <c r="B333" s="83">
        <v>8</v>
      </c>
      <c r="C333" s="84">
        <v>7000000000</v>
      </c>
      <c r="D333" s="102" t="s">
        <v>12</v>
      </c>
      <c r="E333" s="86">
        <v>77.5</v>
      </c>
      <c r="F333" s="88"/>
      <c r="G333" s="84">
        <f t="shared" si="35"/>
        <v>7100000000</v>
      </c>
      <c r="H333" s="88"/>
      <c r="I333" s="87">
        <f t="shared" si="36"/>
        <v>1.4285714285714286</v>
      </c>
      <c r="J333" s="87">
        <f t="shared" si="37"/>
        <v>5.3474482135195736</v>
      </c>
      <c r="K333" s="88" t="e">
        <f t="shared" si="38"/>
        <v>#VALUE!</v>
      </c>
      <c r="L333" s="106"/>
      <c r="M333" s="100">
        <f>R333*10^9</f>
        <v>7100000000</v>
      </c>
      <c r="N333" s="107"/>
      <c r="O333" s="108">
        <v>4</v>
      </c>
      <c r="P333" s="105"/>
      <c r="Q333" s="94">
        <v>6.9909999999999997</v>
      </c>
      <c r="R333" s="95">
        <v>7.1</v>
      </c>
      <c r="S333" s="104">
        <v>1000000000</v>
      </c>
      <c r="T333" s="96">
        <f t="shared" si="39"/>
        <v>6991000000</v>
      </c>
    </row>
    <row r="336" spans="1:20" ht="12" thickBot="1" x14ac:dyDescent="0.25"/>
    <row r="337" spans="1:20" ht="13.5" thickBot="1" x14ac:dyDescent="0.25">
      <c r="A337" s="56"/>
      <c r="B337" s="57"/>
      <c r="C337" s="58" t="s">
        <v>0</v>
      </c>
      <c r="D337" s="57"/>
      <c r="E337" s="59"/>
      <c r="F337" s="60" t="s">
        <v>1</v>
      </c>
      <c r="G337" s="61"/>
      <c r="H337" s="59"/>
      <c r="I337" s="62"/>
      <c r="J337" s="63"/>
      <c r="K337" s="63"/>
      <c r="M337" s="64"/>
      <c r="O337" s="65"/>
    </row>
    <row r="338" spans="1:20" ht="12.75" x14ac:dyDescent="0.2">
      <c r="A338" s="56"/>
      <c r="B338" s="66"/>
      <c r="C338" s="67"/>
      <c r="D338" s="68"/>
      <c r="E338" s="69"/>
      <c r="F338" s="70"/>
      <c r="G338" s="70"/>
      <c r="H338" s="69"/>
      <c r="I338" s="71"/>
      <c r="J338" s="72"/>
      <c r="K338" s="72"/>
      <c r="L338" s="73"/>
      <c r="M338" s="64"/>
    </row>
    <row r="339" spans="1:20" ht="12.75" x14ac:dyDescent="0.2">
      <c r="A339" s="56"/>
      <c r="B339" s="66"/>
      <c r="C339" s="71"/>
      <c r="D339" s="67"/>
      <c r="E339" s="69"/>
      <c r="F339" s="70" t="s">
        <v>0</v>
      </c>
      <c r="G339" s="70" t="s">
        <v>0</v>
      </c>
      <c r="H339" s="69"/>
      <c r="I339" s="72"/>
      <c r="J339" s="72"/>
      <c r="K339" s="72"/>
      <c r="L339" s="73"/>
      <c r="M339" s="64"/>
    </row>
    <row r="340" spans="1:20" ht="13.5" thickBot="1" x14ac:dyDescent="0.25">
      <c r="A340" s="74"/>
      <c r="B340" s="75" t="s">
        <v>2</v>
      </c>
      <c r="C340" s="76" t="s">
        <v>3</v>
      </c>
      <c r="D340" s="77" t="s">
        <v>2</v>
      </c>
      <c r="E340" s="78" t="s">
        <v>4</v>
      </c>
      <c r="F340" s="79" t="s">
        <v>3</v>
      </c>
      <c r="G340" s="79" t="s">
        <v>3</v>
      </c>
      <c r="H340" s="78" t="s">
        <v>5</v>
      </c>
      <c r="I340" s="79" t="s">
        <v>6</v>
      </c>
      <c r="J340" s="79" t="s">
        <v>6</v>
      </c>
      <c r="K340" s="80">
        <v>0.15</v>
      </c>
      <c r="M340" s="64"/>
      <c r="N340" s="81" t="s">
        <v>7</v>
      </c>
    </row>
    <row r="341" spans="1:20" ht="14.25" thickTop="1" thickBot="1" x14ac:dyDescent="0.25">
      <c r="A341" s="82"/>
      <c r="B341" s="83">
        <v>1</v>
      </c>
      <c r="C341" s="84">
        <v>700</v>
      </c>
      <c r="D341" s="85" t="s">
        <v>8</v>
      </c>
      <c r="E341" s="86">
        <v>241.9</v>
      </c>
      <c r="F341" s="112">
        <f>N341</f>
        <v>105</v>
      </c>
      <c r="G341" s="84">
        <f t="shared" ref="G341:G348" si="40">M341</f>
        <v>790</v>
      </c>
      <c r="H341" s="84">
        <f>G341-N341</f>
        <v>685</v>
      </c>
      <c r="I341" s="87">
        <f t="shared" ref="I341:I348" si="41">((G341-N341)-C341)/C341*100</f>
        <v>-2.1428571428571428</v>
      </c>
      <c r="J341" s="87">
        <f t="shared" ref="J341:J348" si="42">1.1+SQRT(O341^2+I341^2)</f>
        <v>6.5398379327599354</v>
      </c>
      <c r="K341" s="88" t="e">
        <f t="shared" ref="K341:K348" si="43">TEXT(J341,"0.0")&amp;"&lt;15"</f>
        <v>#VALUE!</v>
      </c>
      <c r="L341" s="89"/>
      <c r="M341" s="90">
        <f>R341*10^3+100</f>
        <v>790</v>
      </c>
      <c r="N341" s="91">
        <v>105</v>
      </c>
      <c r="O341" s="92">
        <v>5</v>
      </c>
      <c r="P341" s="93">
        <f>A341</f>
        <v>0</v>
      </c>
      <c r="Q341" s="94">
        <v>0.82040000000000002</v>
      </c>
      <c r="R341" s="95">
        <v>0.69</v>
      </c>
      <c r="S341">
        <v>1000</v>
      </c>
      <c r="T341" s="96">
        <f t="shared" ref="T341:T348" si="44">Q341*S341</f>
        <v>820.4</v>
      </c>
    </row>
    <row r="342" spans="1:20" ht="13.5" thickBot="1" x14ac:dyDescent="0.25">
      <c r="A342" s="97" t="s">
        <v>27</v>
      </c>
      <c r="B342" s="83">
        <v>2</v>
      </c>
      <c r="C342" s="84">
        <v>7000</v>
      </c>
      <c r="D342" s="85" t="s">
        <v>8</v>
      </c>
      <c r="E342" s="86">
        <v>77.400000000000006</v>
      </c>
      <c r="F342" s="112"/>
      <c r="G342" s="84">
        <f t="shared" si="40"/>
        <v>7100</v>
      </c>
      <c r="H342" s="84">
        <f>G342-N342</f>
        <v>6995</v>
      </c>
      <c r="I342" s="87">
        <f t="shared" si="41"/>
        <v>-7.1428571428571425E-2</v>
      </c>
      <c r="J342" s="87">
        <f t="shared" si="42"/>
        <v>6.1005101780534687</v>
      </c>
      <c r="K342" s="88" t="e">
        <f t="shared" si="43"/>
        <v>#VALUE!</v>
      </c>
      <c r="L342" s="73"/>
      <c r="M342" s="90">
        <f>R342*10^3+100</f>
        <v>7100</v>
      </c>
      <c r="N342" s="98">
        <f>N341</f>
        <v>105</v>
      </c>
      <c r="O342" s="99">
        <v>5</v>
      </c>
      <c r="P342" s="93" t="e">
        <f>'[1]Калибровочные значения'!#REF!</f>
        <v>#REF!</v>
      </c>
      <c r="Q342" s="94">
        <v>6.9059999999999997</v>
      </c>
      <c r="R342" s="95">
        <v>7</v>
      </c>
      <c r="S342">
        <v>1000</v>
      </c>
      <c r="T342" s="96">
        <f t="shared" si="44"/>
        <v>6906</v>
      </c>
    </row>
    <row r="343" spans="1:20" ht="13.5" thickBot="1" x14ac:dyDescent="0.25">
      <c r="A343" s="93"/>
      <c r="B343" s="83">
        <v>3</v>
      </c>
      <c r="C343" s="84">
        <v>70000</v>
      </c>
      <c r="D343" s="85" t="s">
        <v>10</v>
      </c>
      <c r="E343" s="86">
        <v>167.3</v>
      </c>
      <c r="F343" s="112"/>
      <c r="G343" s="84">
        <f t="shared" si="40"/>
        <v>71100</v>
      </c>
      <c r="H343" s="84">
        <f>G343-N343</f>
        <v>70995</v>
      </c>
      <c r="I343" s="87">
        <f t="shared" si="41"/>
        <v>1.4214285714285715</v>
      </c>
      <c r="J343" s="87">
        <f t="shared" si="42"/>
        <v>5.3450511402895344</v>
      </c>
      <c r="K343" s="88" t="e">
        <f t="shared" si="43"/>
        <v>#VALUE!</v>
      </c>
      <c r="L343" s="73"/>
      <c r="M343" s="100">
        <f>R343*10^3+100</f>
        <v>71100</v>
      </c>
      <c r="N343" s="98">
        <f>N341</f>
        <v>105</v>
      </c>
      <c r="O343" s="99">
        <v>4</v>
      </c>
      <c r="P343" s="101" t="e">
        <f>'[1]Калибровочные значения'!#REF!</f>
        <v>#REF!</v>
      </c>
      <c r="Q343" s="94">
        <v>70.12</v>
      </c>
      <c r="R343" s="95">
        <v>71</v>
      </c>
      <c r="S343">
        <v>1000</v>
      </c>
      <c r="T343" s="96">
        <f t="shared" si="44"/>
        <v>70120</v>
      </c>
    </row>
    <row r="344" spans="1:20" ht="13.5" thickBot="1" x14ac:dyDescent="0.25">
      <c r="A344" s="93"/>
      <c r="B344" s="83">
        <v>4</v>
      </c>
      <c r="C344" s="84">
        <v>700000</v>
      </c>
      <c r="D344" s="102" t="s">
        <v>10</v>
      </c>
      <c r="E344" s="86">
        <v>53.7</v>
      </c>
      <c r="F344" s="88"/>
      <c r="G344" s="84">
        <f t="shared" si="40"/>
        <v>700000</v>
      </c>
      <c r="H344" s="88"/>
      <c r="I344" s="87">
        <f t="shared" si="41"/>
        <v>0</v>
      </c>
      <c r="J344" s="87">
        <f t="shared" si="42"/>
        <v>5.0999999999999996</v>
      </c>
      <c r="K344" s="88" t="e">
        <f t="shared" si="43"/>
        <v>#VALUE!</v>
      </c>
      <c r="L344" s="73"/>
      <c r="M344" s="100">
        <f>R344*10^6</f>
        <v>700000</v>
      </c>
      <c r="N344" s="103"/>
      <c r="O344" s="99">
        <v>4</v>
      </c>
      <c r="P344" s="93">
        <v>5</v>
      </c>
      <c r="Q344" s="94">
        <v>0.70920000000000005</v>
      </c>
      <c r="R344" s="95">
        <v>0.7</v>
      </c>
      <c r="S344">
        <v>1000000</v>
      </c>
      <c r="T344" s="96">
        <f t="shared" si="44"/>
        <v>709200</v>
      </c>
    </row>
    <row r="345" spans="1:20" ht="13.5" thickBot="1" x14ac:dyDescent="0.25">
      <c r="A345" s="93"/>
      <c r="B345" s="83">
        <v>5</v>
      </c>
      <c r="C345" s="84">
        <v>7000000</v>
      </c>
      <c r="D345" s="102" t="s">
        <v>11</v>
      </c>
      <c r="E345" s="86">
        <v>364.1</v>
      </c>
      <c r="F345" s="88"/>
      <c r="G345" s="84">
        <f t="shared" si="40"/>
        <v>7000000</v>
      </c>
      <c r="H345" s="88"/>
      <c r="I345" s="87">
        <f t="shared" si="41"/>
        <v>0</v>
      </c>
      <c r="J345" s="87">
        <f t="shared" si="42"/>
        <v>5.0999999999999996</v>
      </c>
      <c r="K345" s="88" t="e">
        <f t="shared" si="43"/>
        <v>#VALUE!</v>
      </c>
      <c r="L345" s="73"/>
      <c r="M345" s="100">
        <f>R345*10^6</f>
        <v>7000000</v>
      </c>
      <c r="N345" s="103"/>
      <c r="O345" s="99">
        <v>4</v>
      </c>
      <c r="P345" s="93"/>
      <c r="Q345" s="94">
        <v>7.5069999999999997</v>
      </c>
      <c r="R345" s="95">
        <v>7</v>
      </c>
      <c r="S345">
        <v>1000000</v>
      </c>
      <c r="T345" s="96">
        <f t="shared" si="44"/>
        <v>7507000</v>
      </c>
    </row>
    <row r="346" spans="1:20" ht="13.5" thickBot="1" x14ac:dyDescent="0.25">
      <c r="A346" s="93"/>
      <c r="B346" s="83">
        <v>6</v>
      </c>
      <c r="C346" s="84">
        <v>70000000</v>
      </c>
      <c r="D346" s="102" t="s">
        <v>11</v>
      </c>
      <c r="E346" s="86">
        <v>116.7</v>
      </c>
      <c r="F346" s="88"/>
      <c r="G346" s="84">
        <f t="shared" si="40"/>
        <v>70000000</v>
      </c>
      <c r="H346" s="88"/>
      <c r="I346" s="87">
        <f t="shared" si="41"/>
        <v>0</v>
      </c>
      <c r="J346" s="87">
        <f t="shared" si="42"/>
        <v>5.0999999999999996</v>
      </c>
      <c r="K346" s="88" t="e">
        <f t="shared" si="43"/>
        <v>#VALUE!</v>
      </c>
      <c r="L346" s="73"/>
      <c r="M346" s="100">
        <f>R346*10^6</f>
        <v>70000000</v>
      </c>
      <c r="N346" s="103"/>
      <c r="O346" s="99">
        <v>4</v>
      </c>
      <c r="P346" s="93"/>
      <c r="Q346" s="94">
        <v>71.7</v>
      </c>
      <c r="R346" s="95">
        <v>70</v>
      </c>
      <c r="S346">
        <v>1000000</v>
      </c>
      <c r="T346" s="96">
        <f t="shared" si="44"/>
        <v>71700000</v>
      </c>
    </row>
    <row r="347" spans="1:20" ht="13.5" thickBot="1" x14ac:dyDescent="0.25">
      <c r="A347" s="93"/>
      <c r="B347" s="83">
        <v>7</v>
      </c>
      <c r="C347" s="84">
        <v>700000000</v>
      </c>
      <c r="D347" s="102" t="s">
        <v>12</v>
      </c>
      <c r="E347" s="86">
        <v>240.9</v>
      </c>
      <c r="F347" s="88"/>
      <c r="G347" s="84">
        <f t="shared" si="40"/>
        <v>700000000</v>
      </c>
      <c r="H347" s="88"/>
      <c r="I347" s="87">
        <f t="shared" si="41"/>
        <v>0</v>
      </c>
      <c r="J347" s="87">
        <f t="shared" si="42"/>
        <v>5.0999999999999996</v>
      </c>
      <c r="K347" s="88" t="e">
        <f t="shared" si="43"/>
        <v>#VALUE!</v>
      </c>
      <c r="L347" s="73"/>
      <c r="M347" s="100">
        <f>R347*10^9</f>
        <v>700000000</v>
      </c>
      <c r="N347" s="103"/>
      <c r="O347" s="99">
        <v>4</v>
      </c>
      <c r="P347" s="93"/>
      <c r="Q347" s="94">
        <v>0.70069999999999999</v>
      </c>
      <c r="R347" s="95">
        <v>0.7</v>
      </c>
      <c r="S347" s="104">
        <v>1000000000</v>
      </c>
      <c r="T347" s="96">
        <f t="shared" si="44"/>
        <v>700700000</v>
      </c>
    </row>
    <row r="348" spans="1:20" ht="13.5" thickBot="1" x14ac:dyDescent="0.25">
      <c r="A348" s="105"/>
      <c r="B348" s="83">
        <v>8</v>
      </c>
      <c r="C348" s="84">
        <v>7000000000</v>
      </c>
      <c r="D348" s="102" t="s">
        <v>12</v>
      </c>
      <c r="E348" s="86">
        <v>77.5</v>
      </c>
      <c r="F348" s="88"/>
      <c r="G348" s="84">
        <f t="shared" si="40"/>
        <v>7200000000</v>
      </c>
      <c r="H348" s="88"/>
      <c r="I348" s="87">
        <f t="shared" si="41"/>
        <v>2.8571428571428572</v>
      </c>
      <c r="J348" s="87">
        <f t="shared" si="42"/>
        <v>6.015614438310072</v>
      </c>
      <c r="K348" s="88" t="e">
        <f t="shared" si="43"/>
        <v>#VALUE!</v>
      </c>
      <c r="L348" s="106"/>
      <c r="M348" s="100">
        <f>R348*10^9</f>
        <v>7200000000</v>
      </c>
      <c r="N348" s="107"/>
      <c r="O348" s="108">
        <v>4</v>
      </c>
      <c r="P348" s="105"/>
      <c r="Q348" s="94">
        <v>6.9909999999999997</v>
      </c>
      <c r="R348" s="95">
        <v>7.2</v>
      </c>
      <c r="S348" s="104">
        <v>1000000000</v>
      </c>
      <c r="T348" s="96">
        <f t="shared" si="44"/>
        <v>6991000000</v>
      </c>
    </row>
    <row r="351" spans="1:20" ht="12" thickBot="1" x14ac:dyDescent="0.25"/>
    <row r="352" spans="1:20" ht="13.5" thickBot="1" x14ac:dyDescent="0.25">
      <c r="A352" s="56"/>
      <c r="B352" s="57"/>
      <c r="C352" s="58" t="s">
        <v>0</v>
      </c>
      <c r="D352" s="57"/>
      <c r="E352" s="59"/>
      <c r="F352" s="60" t="s">
        <v>1</v>
      </c>
      <c r="G352" s="61"/>
      <c r="H352" s="59"/>
      <c r="I352" s="62"/>
      <c r="J352" s="63"/>
      <c r="K352" s="63"/>
      <c r="M352" s="64"/>
      <c r="O352" s="65"/>
    </row>
    <row r="353" spans="1:20" ht="12.75" x14ac:dyDescent="0.2">
      <c r="A353" s="56"/>
      <c r="B353" s="66"/>
      <c r="C353" s="67"/>
      <c r="D353" s="68"/>
      <c r="E353" s="69"/>
      <c r="F353" s="70"/>
      <c r="G353" s="70"/>
      <c r="H353" s="69"/>
      <c r="I353" s="71"/>
      <c r="J353" s="72"/>
      <c r="K353" s="72"/>
      <c r="L353" s="73"/>
      <c r="M353" s="64"/>
    </row>
    <row r="354" spans="1:20" ht="12.75" x14ac:dyDescent="0.2">
      <c r="A354" s="56"/>
      <c r="B354" s="66"/>
      <c r="C354" s="71"/>
      <c r="D354" s="67"/>
      <c r="E354" s="69"/>
      <c r="F354" s="70" t="s">
        <v>0</v>
      </c>
      <c r="G354" s="70" t="s">
        <v>0</v>
      </c>
      <c r="H354" s="69"/>
      <c r="I354" s="72"/>
      <c r="J354" s="72"/>
      <c r="K354" s="72"/>
      <c r="L354" s="73"/>
      <c r="M354" s="64"/>
    </row>
    <row r="355" spans="1:20" ht="13.5" thickBot="1" x14ac:dyDescent="0.25">
      <c r="A355" s="74"/>
      <c r="B355" s="75" t="s">
        <v>2</v>
      </c>
      <c r="C355" s="76" t="s">
        <v>3</v>
      </c>
      <c r="D355" s="77" t="s">
        <v>2</v>
      </c>
      <c r="E355" s="78" t="s">
        <v>4</v>
      </c>
      <c r="F355" s="79" t="s">
        <v>3</v>
      </c>
      <c r="G355" s="79" t="s">
        <v>3</v>
      </c>
      <c r="H355" s="78" t="s">
        <v>5</v>
      </c>
      <c r="I355" s="79" t="s">
        <v>6</v>
      </c>
      <c r="J355" s="79" t="s">
        <v>6</v>
      </c>
      <c r="K355" s="80">
        <v>0.15</v>
      </c>
      <c r="M355" s="64"/>
      <c r="N355" s="81" t="s">
        <v>7</v>
      </c>
    </row>
    <row r="356" spans="1:20" ht="14.25" thickTop="1" thickBot="1" x14ac:dyDescent="0.25">
      <c r="A356" s="82"/>
      <c r="B356" s="83">
        <v>1</v>
      </c>
      <c r="C356" s="84">
        <v>700</v>
      </c>
      <c r="D356" s="85" t="s">
        <v>8</v>
      </c>
      <c r="E356" s="86">
        <v>241.9</v>
      </c>
      <c r="F356" s="112">
        <f>N356</f>
        <v>111</v>
      </c>
      <c r="G356" s="84">
        <f t="shared" ref="G356:G363" si="45">M356</f>
        <v>800</v>
      </c>
      <c r="H356" s="84">
        <f>G356-N356</f>
        <v>689</v>
      </c>
      <c r="I356" s="87">
        <f t="shared" ref="I356:I363" si="46">((G356-N356)-C356)/C356*100</f>
        <v>-1.5714285714285716</v>
      </c>
      <c r="J356" s="87">
        <f t="shared" ref="J356:J363" si="47">1.1+SQRT(O356^2+I356^2)</f>
        <v>6.3411246650983255</v>
      </c>
      <c r="K356" s="88" t="e">
        <f t="shared" ref="K356:K363" si="48">TEXT(J356,"0.0")&amp;"&lt;15"</f>
        <v>#VALUE!</v>
      </c>
      <c r="L356" s="89"/>
      <c r="M356" s="90">
        <f>R356*10^3+100</f>
        <v>800</v>
      </c>
      <c r="N356" s="91">
        <v>111</v>
      </c>
      <c r="O356" s="92">
        <v>5</v>
      </c>
      <c r="P356" s="93">
        <f>A356</f>
        <v>0</v>
      </c>
      <c r="Q356" s="94">
        <v>0.82040000000000002</v>
      </c>
      <c r="R356" s="95">
        <v>0.7</v>
      </c>
      <c r="S356">
        <v>1000</v>
      </c>
      <c r="T356" s="96">
        <f t="shared" ref="T356:T363" si="49">Q356*S356</f>
        <v>820.4</v>
      </c>
    </row>
    <row r="357" spans="1:20" ht="13.5" thickBot="1" x14ac:dyDescent="0.25">
      <c r="A357" s="97" t="s">
        <v>28</v>
      </c>
      <c r="B357" s="83">
        <v>2</v>
      </c>
      <c r="C357" s="84">
        <v>7000</v>
      </c>
      <c r="D357" s="85" t="s">
        <v>8</v>
      </c>
      <c r="E357" s="86">
        <v>77.400000000000006</v>
      </c>
      <c r="F357" s="112"/>
      <c r="G357" s="84">
        <f t="shared" si="45"/>
        <v>7200</v>
      </c>
      <c r="H357" s="84">
        <f>G357-N357</f>
        <v>7089</v>
      </c>
      <c r="I357" s="87">
        <f t="shared" si="46"/>
        <v>1.2714285714285714</v>
      </c>
      <c r="J357" s="87">
        <f t="shared" si="47"/>
        <v>6.259121108507232</v>
      </c>
      <c r="K357" s="88" t="e">
        <f t="shared" si="48"/>
        <v>#VALUE!</v>
      </c>
      <c r="L357" s="73"/>
      <c r="M357" s="90">
        <f>R357*10^3+100</f>
        <v>7200</v>
      </c>
      <c r="N357" s="98">
        <f>N356</f>
        <v>111</v>
      </c>
      <c r="O357" s="99">
        <v>5</v>
      </c>
      <c r="P357" s="93" t="e">
        <f>'[1]Калибровочные значения'!#REF!</f>
        <v>#REF!</v>
      </c>
      <c r="Q357" s="94">
        <v>6.9059999999999997</v>
      </c>
      <c r="R357" s="95">
        <v>7.1</v>
      </c>
      <c r="S357">
        <v>1000</v>
      </c>
      <c r="T357" s="96">
        <f t="shared" si="49"/>
        <v>6906</v>
      </c>
    </row>
    <row r="358" spans="1:20" ht="13.5" thickBot="1" x14ac:dyDescent="0.25">
      <c r="A358" s="93"/>
      <c r="B358" s="83">
        <v>3</v>
      </c>
      <c r="C358" s="84">
        <v>70000</v>
      </c>
      <c r="D358" s="85" t="s">
        <v>10</v>
      </c>
      <c r="E358" s="86">
        <v>167.3</v>
      </c>
      <c r="F358" s="112"/>
      <c r="G358" s="84">
        <f t="shared" si="45"/>
        <v>74100</v>
      </c>
      <c r="H358" s="84">
        <f>G358-N358</f>
        <v>73989</v>
      </c>
      <c r="I358" s="87">
        <f t="shared" si="46"/>
        <v>5.6985714285714284</v>
      </c>
      <c r="J358" s="87">
        <f t="shared" si="47"/>
        <v>8.0623068250782097</v>
      </c>
      <c r="K358" s="88" t="e">
        <f t="shared" si="48"/>
        <v>#VALUE!</v>
      </c>
      <c r="L358" s="73"/>
      <c r="M358" s="100">
        <f>R358*10^3+100</f>
        <v>74100</v>
      </c>
      <c r="N358" s="98">
        <f>N356</f>
        <v>111</v>
      </c>
      <c r="O358" s="99">
        <v>4</v>
      </c>
      <c r="P358" s="101" t="e">
        <f>'[1]Калибровочные значения'!#REF!</f>
        <v>#REF!</v>
      </c>
      <c r="Q358" s="94">
        <v>70.12</v>
      </c>
      <c r="R358" s="95">
        <v>74</v>
      </c>
      <c r="S358">
        <v>1000</v>
      </c>
      <c r="T358" s="96">
        <f t="shared" si="49"/>
        <v>70120</v>
      </c>
    </row>
    <row r="359" spans="1:20" ht="13.5" thickBot="1" x14ac:dyDescent="0.25">
      <c r="A359" s="93"/>
      <c r="B359" s="83">
        <v>4</v>
      </c>
      <c r="C359" s="84">
        <v>700000</v>
      </c>
      <c r="D359" s="102" t="s">
        <v>10</v>
      </c>
      <c r="E359" s="86">
        <v>53.7</v>
      </c>
      <c r="F359" s="88"/>
      <c r="G359" s="84">
        <f t="shared" si="45"/>
        <v>700000</v>
      </c>
      <c r="H359" s="88"/>
      <c r="I359" s="87">
        <f t="shared" si="46"/>
        <v>0</v>
      </c>
      <c r="J359" s="87">
        <f t="shared" si="47"/>
        <v>5.0999999999999996</v>
      </c>
      <c r="K359" s="88" t="e">
        <f t="shared" si="48"/>
        <v>#VALUE!</v>
      </c>
      <c r="L359" s="73"/>
      <c r="M359" s="100">
        <f>R359*10^6</f>
        <v>700000</v>
      </c>
      <c r="N359" s="103"/>
      <c r="O359" s="99">
        <v>4</v>
      </c>
      <c r="P359" s="93">
        <v>5</v>
      </c>
      <c r="Q359" s="94">
        <v>0.70920000000000005</v>
      </c>
      <c r="R359" s="95">
        <v>0.7</v>
      </c>
      <c r="S359">
        <v>1000000</v>
      </c>
      <c r="T359" s="96">
        <f t="shared" si="49"/>
        <v>709200</v>
      </c>
    </row>
    <row r="360" spans="1:20" ht="13.5" thickBot="1" x14ac:dyDescent="0.25">
      <c r="A360" s="93"/>
      <c r="B360" s="83">
        <v>5</v>
      </c>
      <c r="C360" s="84">
        <v>7000000</v>
      </c>
      <c r="D360" s="102" t="s">
        <v>11</v>
      </c>
      <c r="E360" s="86">
        <v>364.1</v>
      </c>
      <c r="F360" s="88"/>
      <c r="G360" s="84">
        <f t="shared" si="45"/>
        <v>7100000</v>
      </c>
      <c r="H360" s="88"/>
      <c r="I360" s="87">
        <f t="shared" si="46"/>
        <v>1.4285714285714286</v>
      </c>
      <c r="J360" s="87">
        <f t="shared" si="47"/>
        <v>5.3474482135195736</v>
      </c>
      <c r="K360" s="88" t="e">
        <f t="shared" si="48"/>
        <v>#VALUE!</v>
      </c>
      <c r="L360" s="73"/>
      <c r="M360" s="100">
        <f>R360*10^6</f>
        <v>7100000</v>
      </c>
      <c r="N360" s="103"/>
      <c r="O360" s="99">
        <v>4</v>
      </c>
      <c r="P360" s="93"/>
      <c r="Q360" s="94">
        <v>7.5069999999999997</v>
      </c>
      <c r="R360" s="95">
        <v>7.1</v>
      </c>
      <c r="S360">
        <v>1000000</v>
      </c>
      <c r="T360" s="96">
        <f t="shared" si="49"/>
        <v>7507000</v>
      </c>
    </row>
    <row r="361" spans="1:20" ht="13.5" thickBot="1" x14ac:dyDescent="0.25">
      <c r="A361" s="93"/>
      <c r="B361" s="83">
        <v>6</v>
      </c>
      <c r="C361" s="84">
        <v>70000000</v>
      </c>
      <c r="D361" s="102" t="s">
        <v>11</v>
      </c>
      <c r="E361" s="86">
        <v>116.7</v>
      </c>
      <c r="F361" s="88"/>
      <c r="G361" s="84">
        <f t="shared" si="45"/>
        <v>68000000</v>
      </c>
      <c r="H361" s="88"/>
      <c r="I361" s="87">
        <f t="shared" si="46"/>
        <v>-2.8571428571428572</v>
      </c>
      <c r="J361" s="87">
        <f t="shared" si="47"/>
        <v>6.015614438310072</v>
      </c>
      <c r="K361" s="88" t="e">
        <f t="shared" si="48"/>
        <v>#VALUE!</v>
      </c>
      <c r="L361" s="73"/>
      <c r="M361" s="100">
        <f>R361*10^6</f>
        <v>68000000</v>
      </c>
      <c r="N361" s="103"/>
      <c r="O361" s="99">
        <v>4</v>
      </c>
      <c r="P361" s="93"/>
      <c r="Q361" s="94">
        <v>71.7</v>
      </c>
      <c r="R361" s="95">
        <v>68</v>
      </c>
      <c r="S361">
        <v>1000000</v>
      </c>
      <c r="T361" s="96">
        <f t="shared" si="49"/>
        <v>71700000</v>
      </c>
    </row>
    <row r="362" spans="1:20" ht="13.5" thickBot="1" x14ac:dyDescent="0.25">
      <c r="A362" s="93"/>
      <c r="B362" s="83">
        <v>7</v>
      </c>
      <c r="C362" s="84">
        <v>700000000</v>
      </c>
      <c r="D362" s="102" t="s">
        <v>12</v>
      </c>
      <c r="E362" s="86">
        <v>240.9</v>
      </c>
      <c r="F362" s="88"/>
      <c r="G362" s="84">
        <f t="shared" si="45"/>
        <v>700000000</v>
      </c>
      <c r="H362" s="88"/>
      <c r="I362" s="87">
        <f t="shared" si="46"/>
        <v>0</v>
      </c>
      <c r="J362" s="87">
        <f t="shared" si="47"/>
        <v>5.0999999999999996</v>
      </c>
      <c r="K362" s="88" t="e">
        <f t="shared" si="48"/>
        <v>#VALUE!</v>
      </c>
      <c r="L362" s="73"/>
      <c r="M362" s="100">
        <f>R362*10^9</f>
        <v>700000000</v>
      </c>
      <c r="N362" s="103"/>
      <c r="O362" s="99">
        <v>4</v>
      </c>
      <c r="P362" s="93"/>
      <c r="Q362" s="94">
        <v>0.70069999999999999</v>
      </c>
      <c r="R362" s="95">
        <v>0.7</v>
      </c>
      <c r="S362" s="104">
        <v>1000000000</v>
      </c>
      <c r="T362" s="96">
        <f t="shared" si="49"/>
        <v>700700000</v>
      </c>
    </row>
    <row r="363" spans="1:20" ht="13.5" thickBot="1" x14ac:dyDescent="0.25">
      <c r="A363" s="105"/>
      <c r="B363" s="83">
        <v>8</v>
      </c>
      <c r="C363" s="84">
        <v>7000000000</v>
      </c>
      <c r="D363" s="102" t="s">
        <v>12</v>
      </c>
      <c r="E363" s="86">
        <v>77.5</v>
      </c>
      <c r="F363" s="88"/>
      <c r="G363" s="84">
        <f t="shared" si="45"/>
        <v>7000000000</v>
      </c>
      <c r="H363" s="88"/>
      <c r="I363" s="87">
        <f t="shared" si="46"/>
        <v>0</v>
      </c>
      <c r="J363" s="87">
        <f t="shared" si="47"/>
        <v>5.0999999999999996</v>
      </c>
      <c r="K363" s="88" t="e">
        <f t="shared" si="48"/>
        <v>#VALUE!</v>
      </c>
      <c r="L363" s="106"/>
      <c r="M363" s="100">
        <f>R363*10^9</f>
        <v>7000000000</v>
      </c>
      <c r="N363" s="107"/>
      <c r="O363" s="108">
        <v>4</v>
      </c>
      <c r="P363" s="105"/>
      <c r="Q363" s="94">
        <v>6.9909999999999997</v>
      </c>
      <c r="R363" s="95">
        <v>7</v>
      </c>
      <c r="S363" s="104">
        <v>1000000000</v>
      </c>
      <c r="T363" s="96">
        <f t="shared" si="49"/>
        <v>6991000000</v>
      </c>
    </row>
    <row r="366" spans="1:20" ht="12" thickBot="1" x14ac:dyDescent="0.25"/>
    <row r="367" spans="1:20" ht="13.5" thickBot="1" x14ac:dyDescent="0.25">
      <c r="A367" s="56"/>
      <c r="B367" s="57"/>
      <c r="C367" s="58" t="s">
        <v>0</v>
      </c>
      <c r="D367" s="57"/>
      <c r="E367" s="59"/>
      <c r="F367" s="60" t="s">
        <v>1</v>
      </c>
      <c r="G367" s="61"/>
      <c r="H367" s="59"/>
      <c r="I367" s="62"/>
      <c r="J367" s="63"/>
      <c r="K367" s="63"/>
      <c r="M367" s="64"/>
      <c r="O367" s="65"/>
    </row>
    <row r="368" spans="1:20" ht="12.75" x14ac:dyDescent="0.2">
      <c r="A368" s="56"/>
      <c r="B368" s="66"/>
      <c r="C368" s="67"/>
      <c r="D368" s="68"/>
      <c r="E368" s="69"/>
      <c r="F368" s="70"/>
      <c r="G368" s="70"/>
      <c r="H368" s="69"/>
      <c r="I368" s="71"/>
      <c r="J368" s="72"/>
      <c r="K368" s="72"/>
      <c r="L368" s="73"/>
      <c r="M368" s="64"/>
    </row>
    <row r="369" spans="1:20" ht="12.75" x14ac:dyDescent="0.2">
      <c r="A369" s="56"/>
      <c r="B369" s="66"/>
      <c r="C369" s="71"/>
      <c r="D369" s="67"/>
      <c r="E369" s="69"/>
      <c r="F369" s="70" t="s">
        <v>0</v>
      </c>
      <c r="G369" s="70" t="s">
        <v>0</v>
      </c>
      <c r="H369" s="69"/>
      <c r="I369" s="72"/>
      <c r="J369" s="72"/>
      <c r="K369" s="72"/>
      <c r="L369" s="73"/>
      <c r="M369" s="64"/>
    </row>
    <row r="370" spans="1:20" ht="13.5" thickBot="1" x14ac:dyDescent="0.25">
      <c r="A370" s="74"/>
      <c r="B370" s="75" t="s">
        <v>2</v>
      </c>
      <c r="C370" s="76" t="s">
        <v>3</v>
      </c>
      <c r="D370" s="77" t="s">
        <v>2</v>
      </c>
      <c r="E370" s="78" t="s">
        <v>4</v>
      </c>
      <c r="F370" s="79" t="s">
        <v>3</v>
      </c>
      <c r="G370" s="79" t="s">
        <v>3</v>
      </c>
      <c r="H370" s="78" t="s">
        <v>5</v>
      </c>
      <c r="I370" s="79" t="s">
        <v>6</v>
      </c>
      <c r="J370" s="79" t="s">
        <v>6</v>
      </c>
      <c r="K370" s="80">
        <v>0.15</v>
      </c>
      <c r="M370" s="64"/>
      <c r="N370" s="81" t="s">
        <v>7</v>
      </c>
    </row>
    <row r="371" spans="1:20" ht="14.25" thickTop="1" thickBot="1" x14ac:dyDescent="0.25">
      <c r="A371" s="82"/>
      <c r="B371" s="83">
        <v>1</v>
      </c>
      <c r="C371" s="84">
        <v>700</v>
      </c>
      <c r="D371" s="85" t="s">
        <v>8</v>
      </c>
      <c r="E371" s="86">
        <v>241.9</v>
      </c>
      <c r="F371" s="112">
        <f>N371</f>
        <v>111</v>
      </c>
      <c r="G371" s="84">
        <f t="shared" ref="G371:G378" si="50">M371</f>
        <v>800</v>
      </c>
      <c r="H371" s="84">
        <f>G371-N371</f>
        <v>689</v>
      </c>
      <c r="I371" s="87">
        <f t="shared" ref="I371:I378" si="51">((G371-N371)-C371)/C371*100</f>
        <v>-1.5714285714285716</v>
      </c>
      <c r="J371" s="87">
        <f t="shared" ref="J371:J378" si="52">1.1+SQRT(O371^2+I371^2)</f>
        <v>6.3411246650983255</v>
      </c>
      <c r="K371" s="88" t="e">
        <f t="shared" ref="K371:K378" si="53">TEXT(J371,"0.0")&amp;"&lt;15"</f>
        <v>#VALUE!</v>
      </c>
      <c r="L371" s="89"/>
      <c r="M371" s="90">
        <f>R371*10^3+100</f>
        <v>800</v>
      </c>
      <c r="N371" s="91">
        <v>111</v>
      </c>
      <c r="O371" s="92">
        <v>5</v>
      </c>
      <c r="P371" s="93">
        <f>A371</f>
        <v>0</v>
      </c>
      <c r="Q371" s="94">
        <v>0.82040000000000002</v>
      </c>
      <c r="R371" s="95">
        <v>0.7</v>
      </c>
      <c r="S371">
        <v>1000</v>
      </c>
      <c r="T371" s="96">
        <f t="shared" ref="T371:T378" si="54">Q371*S371</f>
        <v>820.4</v>
      </c>
    </row>
    <row r="372" spans="1:20" ht="13.5" thickBot="1" x14ac:dyDescent="0.25">
      <c r="A372" s="97" t="s">
        <v>29</v>
      </c>
      <c r="B372" s="83">
        <v>2</v>
      </c>
      <c r="C372" s="84">
        <v>7000</v>
      </c>
      <c r="D372" s="85" t="s">
        <v>8</v>
      </c>
      <c r="E372" s="86">
        <v>77.400000000000006</v>
      </c>
      <c r="F372" s="112"/>
      <c r="G372" s="84">
        <f t="shared" si="50"/>
        <v>7000</v>
      </c>
      <c r="H372" s="84">
        <f>G372-N372</f>
        <v>6889</v>
      </c>
      <c r="I372" s="87">
        <f t="shared" si="51"/>
        <v>-1.5857142857142859</v>
      </c>
      <c r="J372" s="87">
        <f t="shared" si="52"/>
        <v>6.3454256067471171</v>
      </c>
      <c r="K372" s="88" t="e">
        <f t="shared" si="53"/>
        <v>#VALUE!</v>
      </c>
      <c r="L372" s="73"/>
      <c r="M372" s="90">
        <f>R372*10^3+100</f>
        <v>7000</v>
      </c>
      <c r="N372" s="98">
        <f>N371</f>
        <v>111</v>
      </c>
      <c r="O372" s="99">
        <v>5</v>
      </c>
      <c r="P372" s="93" t="e">
        <f>'[1]Калибровочные значения'!#REF!</f>
        <v>#REF!</v>
      </c>
      <c r="Q372" s="94">
        <v>6.9059999999999997</v>
      </c>
      <c r="R372" s="95">
        <v>6.9</v>
      </c>
      <c r="S372">
        <v>1000</v>
      </c>
      <c r="T372" s="96">
        <f t="shared" si="54"/>
        <v>6906</v>
      </c>
    </row>
    <row r="373" spans="1:20" ht="13.5" thickBot="1" x14ac:dyDescent="0.25">
      <c r="A373" s="93"/>
      <c r="B373" s="83">
        <v>3</v>
      </c>
      <c r="C373" s="84">
        <v>70000</v>
      </c>
      <c r="D373" s="85" t="s">
        <v>10</v>
      </c>
      <c r="E373" s="86">
        <v>167.3</v>
      </c>
      <c r="F373" s="112"/>
      <c r="G373" s="84">
        <f t="shared" si="50"/>
        <v>73100</v>
      </c>
      <c r="H373" s="84">
        <f>G373-N373</f>
        <v>72989</v>
      </c>
      <c r="I373" s="87">
        <f t="shared" si="51"/>
        <v>4.2700000000000005</v>
      </c>
      <c r="J373" s="87">
        <f t="shared" si="52"/>
        <v>6.9508888213672293</v>
      </c>
      <c r="K373" s="88" t="e">
        <f t="shared" si="53"/>
        <v>#VALUE!</v>
      </c>
      <c r="L373" s="73"/>
      <c r="M373" s="100">
        <f>R373*10^3+100</f>
        <v>73100</v>
      </c>
      <c r="N373" s="98">
        <f>N371</f>
        <v>111</v>
      </c>
      <c r="O373" s="99">
        <v>4</v>
      </c>
      <c r="P373" s="101" t="e">
        <f>'[1]Калибровочные значения'!#REF!</f>
        <v>#REF!</v>
      </c>
      <c r="Q373" s="94">
        <v>70.12</v>
      </c>
      <c r="R373" s="95">
        <v>73</v>
      </c>
      <c r="S373">
        <v>1000</v>
      </c>
      <c r="T373" s="96">
        <f t="shared" si="54"/>
        <v>70120</v>
      </c>
    </row>
    <row r="374" spans="1:20" ht="13.5" thickBot="1" x14ac:dyDescent="0.25">
      <c r="A374" s="93"/>
      <c r="B374" s="83">
        <v>4</v>
      </c>
      <c r="C374" s="84">
        <v>700000</v>
      </c>
      <c r="D374" s="102" t="s">
        <v>10</v>
      </c>
      <c r="E374" s="86">
        <v>53.7</v>
      </c>
      <c r="F374" s="88"/>
      <c r="G374" s="84">
        <f t="shared" si="50"/>
        <v>720000</v>
      </c>
      <c r="H374" s="88"/>
      <c r="I374" s="87">
        <f t="shared" si="51"/>
        <v>2.8571428571428572</v>
      </c>
      <c r="J374" s="87">
        <f t="shared" si="52"/>
        <v>6.015614438310072</v>
      </c>
      <c r="K374" s="88" t="e">
        <f t="shared" si="53"/>
        <v>#VALUE!</v>
      </c>
      <c r="L374" s="73"/>
      <c r="M374" s="100">
        <f>R374*10^6</f>
        <v>720000</v>
      </c>
      <c r="N374" s="103"/>
      <c r="O374" s="99">
        <v>4</v>
      </c>
      <c r="P374" s="93">
        <v>5</v>
      </c>
      <c r="Q374" s="94">
        <v>0.70920000000000005</v>
      </c>
      <c r="R374" s="95">
        <v>0.72</v>
      </c>
      <c r="S374">
        <v>1000000</v>
      </c>
      <c r="T374" s="96">
        <f t="shared" si="54"/>
        <v>709200</v>
      </c>
    </row>
    <row r="375" spans="1:20" ht="13.5" thickBot="1" x14ac:dyDescent="0.25">
      <c r="A375" s="93"/>
      <c r="B375" s="83">
        <v>5</v>
      </c>
      <c r="C375" s="84">
        <v>7000000</v>
      </c>
      <c r="D375" s="102" t="s">
        <v>11</v>
      </c>
      <c r="E375" s="86">
        <v>364.1</v>
      </c>
      <c r="F375" s="88"/>
      <c r="G375" s="84">
        <f t="shared" si="50"/>
        <v>6800000</v>
      </c>
      <c r="H375" s="88"/>
      <c r="I375" s="87">
        <f t="shared" si="51"/>
        <v>-2.8571428571428572</v>
      </c>
      <c r="J375" s="87">
        <f t="shared" si="52"/>
        <v>6.015614438310072</v>
      </c>
      <c r="K375" s="88" t="e">
        <f t="shared" si="53"/>
        <v>#VALUE!</v>
      </c>
      <c r="L375" s="73"/>
      <c r="M375" s="100">
        <f>R375*10^6</f>
        <v>6800000</v>
      </c>
      <c r="N375" s="103"/>
      <c r="O375" s="99">
        <v>4</v>
      </c>
      <c r="P375" s="93"/>
      <c r="Q375" s="94">
        <v>7.5069999999999997</v>
      </c>
      <c r="R375" s="95">
        <v>6.8</v>
      </c>
      <c r="S375">
        <v>1000000</v>
      </c>
      <c r="T375" s="96">
        <f t="shared" si="54"/>
        <v>7507000</v>
      </c>
    </row>
    <row r="376" spans="1:20" ht="13.5" thickBot="1" x14ac:dyDescent="0.25">
      <c r="A376" s="93"/>
      <c r="B376" s="83">
        <v>6</v>
      </c>
      <c r="C376" s="84">
        <v>70000000</v>
      </c>
      <c r="D376" s="102" t="s">
        <v>11</v>
      </c>
      <c r="E376" s="86">
        <v>116.7</v>
      </c>
      <c r="F376" s="88"/>
      <c r="G376" s="84">
        <f t="shared" si="50"/>
        <v>69000000</v>
      </c>
      <c r="H376" s="88"/>
      <c r="I376" s="87">
        <f t="shared" si="51"/>
        <v>-1.4285714285714286</v>
      </c>
      <c r="J376" s="87">
        <f t="shared" si="52"/>
        <v>5.3474482135195736</v>
      </c>
      <c r="K376" s="88" t="e">
        <f t="shared" si="53"/>
        <v>#VALUE!</v>
      </c>
      <c r="L376" s="73"/>
      <c r="M376" s="100">
        <f>R376*10^6</f>
        <v>69000000</v>
      </c>
      <c r="N376" s="103"/>
      <c r="O376" s="99">
        <v>4</v>
      </c>
      <c r="P376" s="93"/>
      <c r="Q376" s="94">
        <v>71.7</v>
      </c>
      <c r="R376" s="95">
        <v>69</v>
      </c>
      <c r="S376">
        <v>1000000</v>
      </c>
      <c r="T376" s="96">
        <f t="shared" si="54"/>
        <v>71700000</v>
      </c>
    </row>
    <row r="377" spans="1:20" ht="13.5" thickBot="1" x14ac:dyDescent="0.25">
      <c r="A377" s="93"/>
      <c r="B377" s="83">
        <v>7</v>
      </c>
      <c r="C377" s="84">
        <v>700000000</v>
      </c>
      <c r="D377" s="102" t="s">
        <v>12</v>
      </c>
      <c r="E377" s="86">
        <v>240.9</v>
      </c>
      <c r="F377" s="88"/>
      <c r="G377" s="84">
        <f t="shared" si="50"/>
        <v>720000000</v>
      </c>
      <c r="H377" s="88"/>
      <c r="I377" s="87">
        <f t="shared" si="51"/>
        <v>2.8571428571428572</v>
      </c>
      <c r="J377" s="87">
        <f t="shared" si="52"/>
        <v>6.015614438310072</v>
      </c>
      <c r="K377" s="88" t="e">
        <f t="shared" si="53"/>
        <v>#VALUE!</v>
      </c>
      <c r="L377" s="73"/>
      <c r="M377" s="100">
        <f>R377*10^9</f>
        <v>720000000</v>
      </c>
      <c r="N377" s="103"/>
      <c r="O377" s="99">
        <v>4</v>
      </c>
      <c r="P377" s="93"/>
      <c r="Q377" s="94">
        <v>0.70069999999999999</v>
      </c>
      <c r="R377" s="95">
        <v>0.72</v>
      </c>
      <c r="S377" s="104">
        <v>1000000000</v>
      </c>
      <c r="T377" s="96">
        <f t="shared" si="54"/>
        <v>700700000</v>
      </c>
    </row>
    <row r="378" spans="1:20" ht="13.5" thickBot="1" x14ac:dyDescent="0.25">
      <c r="A378" s="105"/>
      <c r="B378" s="83">
        <v>8</v>
      </c>
      <c r="C378" s="84">
        <v>7000000000</v>
      </c>
      <c r="D378" s="102" t="s">
        <v>12</v>
      </c>
      <c r="E378" s="86">
        <v>77.5</v>
      </c>
      <c r="F378" s="88"/>
      <c r="G378" s="84">
        <f t="shared" si="50"/>
        <v>7000000000</v>
      </c>
      <c r="H378" s="88"/>
      <c r="I378" s="87">
        <f t="shared" si="51"/>
        <v>0</v>
      </c>
      <c r="J378" s="87">
        <f t="shared" si="52"/>
        <v>5.0999999999999996</v>
      </c>
      <c r="K378" s="88" t="e">
        <f t="shared" si="53"/>
        <v>#VALUE!</v>
      </c>
      <c r="L378" s="106"/>
      <c r="M378" s="100">
        <f>R378*10^9</f>
        <v>7000000000</v>
      </c>
      <c r="N378" s="107"/>
      <c r="O378" s="108">
        <v>4</v>
      </c>
      <c r="P378" s="105"/>
      <c r="Q378" s="94">
        <v>6.9909999999999997</v>
      </c>
      <c r="R378" s="95">
        <v>7</v>
      </c>
      <c r="S378" s="104">
        <v>1000000000</v>
      </c>
      <c r="T378" s="96">
        <f t="shared" si="54"/>
        <v>6991000000</v>
      </c>
    </row>
    <row r="380" spans="1:20" x14ac:dyDescent="0.2">
      <c r="A380" s="110" t="s">
        <v>30</v>
      </c>
      <c r="B380" s="110"/>
      <c r="C380" s="110"/>
      <c r="D380" s="110"/>
      <c r="F380">
        <v>931</v>
      </c>
    </row>
    <row r="381" spans="1:20" ht="12" thickBot="1" x14ac:dyDescent="0.25"/>
    <row r="382" spans="1:20" ht="13.5" thickBot="1" x14ac:dyDescent="0.25">
      <c r="A382" s="56"/>
      <c r="B382" s="57"/>
      <c r="C382" s="58" t="s">
        <v>0</v>
      </c>
      <c r="D382" s="57"/>
      <c r="E382" s="59"/>
      <c r="F382" s="60" t="s">
        <v>1</v>
      </c>
      <c r="G382" s="61"/>
      <c r="H382" s="59"/>
      <c r="I382" s="62"/>
      <c r="J382" s="63"/>
      <c r="K382" s="63"/>
      <c r="M382" s="64"/>
      <c r="O382" s="65"/>
    </row>
    <row r="383" spans="1:20" ht="12.75" x14ac:dyDescent="0.2">
      <c r="A383" s="56"/>
      <c r="B383" s="66"/>
      <c r="C383" s="67"/>
      <c r="D383" s="68"/>
      <c r="E383" s="69"/>
      <c r="F383" s="70"/>
      <c r="G383" s="70"/>
      <c r="H383" s="69"/>
      <c r="I383" s="71"/>
      <c r="J383" s="72"/>
      <c r="K383" s="72"/>
      <c r="L383" s="73"/>
      <c r="M383" s="64"/>
    </row>
    <row r="384" spans="1:20" ht="12.75" x14ac:dyDescent="0.2">
      <c r="A384" s="56"/>
      <c r="B384" s="66"/>
      <c r="C384" s="71"/>
      <c r="D384" s="67"/>
      <c r="E384" s="69"/>
      <c r="F384" s="70" t="s">
        <v>0</v>
      </c>
      <c r="G384" s="70" t="s">
        <v>0</v>
      </c>
      <c r="H384" s="69"/>
      <c r="I384" s="72"/>
      <c r="J384" s="72"/>
      <c r="K384" s="72"/>
      <c r="L384" s="73"/>
      <c r="M384" s="64"/>
    </row>
    <row r="385" spans="1:20" ht="13.5" thickBot="1" x14ac:dyDescent="0.25">
      <c r="A385" s="74"/>
      <c r="B385" s="75" t="s">
        <v>2</v>
      </c>
      <c r="C385" s="76" t="s">
        <v>3</v>
      </c>
      <c r="D385" s="77" t="s">
        <v>2</v>
      </c>
      <c r="E385" s="78" t="s">
        <v>4</v>
      </c>
      <c r="F385" s="79" t="s">
        <v>3</v>
      </c>
      <c r="G385" s="79" t="s">
        <v>3</v>
      </c>
      <c r="H385" s="78" t="s">
        <v>5</v>
      </c>
      <c r="I385" s="79" t="s">
        <v>6</v>
      </c>
      <c r="J385" s="79" t="s">
        <v>6</v>
      </c>
      <c r="K385" s="80">
        <v>0.15</v>
      </c>
      <c r="M385" s="64"/>
      <c r="N385" s="81" t="s">
        <v>7</v>
      </c>
    </row>
    <row r="386" spans="1:20" ht="14.25" thickTop="1" thickBot="1" x14ac:dyDescent="0.25">
      <c r="A386" s="82"/>
      <c r="B386" s="83">
        <v>1</v>
      </c>
      <c r="C386" s="84">
        <v>700</v>
      </c>
      <c r="D386" s="85" t="s">
        <v>8</v>
      </c>
      <c r="E386" s="86">
        <v>241.9</v>
      </c>
      <c r="F386" s="112">
        <f>N386</f>
        <v>107</v>
      </c>
      <c r="G386" s="84">
        <f t="shared" ref="G386:G393" si="55">M386</f>
        <v>790</v>
      </c>
      <c r="H386" s="84">
        <f>G386-N386</f>
        <v>683</v>
      </c>
      <c r="I386" s="87">
        <f t="shared" ref="I386:I393" si="56">((G386-N386)-C386)/C386*100</f>
        <v>-2.4285714285714284</v>
      </c>
      <c r="J386" s="87">
        <f t="shared" ref="J386:J393" si="57">1.1+SQRT(O386^2+I386^2)</f>
        <v>6.6585932738124907</v>
      </c>
      <c r="K386" s="88" t="e">
        <f t="shared" ref="K386:K393" si="58">TEXT(J386,"0.0")&amp;"&lt;15"</f>
        <v>#VALUE!</v>
      </c>
      <c r="L386" s="89"/>
      <c r="M386" s="90">
        <f>R386*10^3+100</f>
        <v>790</v>
      </c>
      <c r="N386" s="91">
        <v>107</v>
      </c>
      <c r="O386" s="92">
        <v>5</v>
      </c>
      <c r="P386" s="93">
        <f>A386</f>
        <v>0</v>
      </c>
      <c r="Q386" s="94">
        <v>0.82040000000000002</v>
      </c>
      <c r="R386" s="95">
        <v>0.69</v>
      </c>
      <c r="S386">
        <v>1000</v>
      </c>
      <c r="T386" s="96">
        <f t="shared" ref="T386:T393" si="59">Q386*S386</f>
        <v>820.4</v>
      </c>
    </row>
    <row r="387" spans="1:20" ht="13.5" thickBot="1" x14ac:dyDescent="0.25">
      <c r="A387" s="97" t="s">
        <v>31</v>
      </c>
      <c r="B387" s="83">
        <v>2</v>
      </c>
      <c r="C387" s="84">
        <v>7000</v>
      </c>
      <c r="D387" s="85" t="s">
        <v>8</v>
      </c>
      <c r="E387" s="86">
        <v>77.400000000000006</v>
      </c>
      <c r="F387" s="112"/>
      <c r="G387" s="84">
        <f t="shared" si="55"/>
        <v>7100</v>
      </c>
      <c r="H387" s="84">
        <f>G387-N387</f>
        <v>6993</v>
      </c>
      <c r="I387" s="87">
        <f t="shared" si="56"/>
        <v>-0.1</v>
      </c>
      <c r="J387" s="87">
        <f t="shared" si="57"/>
        <v>6.1009999000199944</v>
      </c>
      <c r="K387" s="88" t="e">
        <f t="shared" si="58"/>
        <v>#VALUE!</v>
      </c>
      <c r="L387" s="73"/>
      <c r="M387" s="90">
        <f>R387*10^3+100</f>
        <v>7100</v>
      </c>
      <c r="N387" s="98">
        <f>N386</f>
        <v>107</v>
      </c>
      <c r="O387" s="99">
        <v>5</v>
      </c>
      <c r="P387" s="93" t="e">
        <f>'[1]Калибровочные значения'!#REF!</f>
        <v>#REF!</v>
      </c>
      <c r="Q387" s="94">
        <v>6.9059999999999997</v>
      </c>
      <c r="R387" s="95">
        <v>7</v>
      </c>
      <c r="S387">
        <v>1000</v>
      </c>
      <c r="T387" s="96">
        <f t="shared" si="59"/>
        <v>6906</v>
      </c>
    </row>
    <row r="388" spans="1:20" ht="13.5" thickBot="1" x14ac:dyDescent="0.25">
      <c r="A388" s="93"/>
      <c r="B388" s="83">
        <v>3</v>
      </c>
      <c r="C388" s="84">
        <v>70000</v>
      </c>
      <c r="D388" s="85" t="s">
        <v>10</v>
      </c>
      <c r="E388" s="86">
        <v>167.3</v>
      </c>
      <c r="F388" s="112"/>
      <c r="G388" s="84">
        <f t="shared" si="55"/>
        <v>71100</v>
      </c>
      <c r="H388" s="84">
        <f>G388-N388</f>
        <v>70993</v>
      </c>
      <c r="I388" s="87">
        <f t="shared" si="56"/>
        <v>1.4185714285714286</v>
      </c>
      <c r="J388" s="87">
        <f t="shared" si="57"/>
        <v>5.3440952979356133</v>
      </c>
      <c r="K388" s="88" t="e">
        <f t="shared" si="58"/>
        <v>#VALUE!</v>
      </c>
      <c r="L388" s="73"/>
      <c r="M388" s="100">
        <f>R388*10^3+100</f>
        <v>71100</v>
      </c>
      <c r="N388" s="98">
        <f>N386</f>
        <v>107</v>
      </c>
      <c r="O388" s="99">
        <v>4</v>
      </c>
      <c r="P388" s="101" t="e">
        <f>'[1]Калибровочные значения'!#REF!</f>
        <v>#REF!</v>
      </c>
      <c r="Q388" s="94">
        <v>70.12</v>
      </c>
      <c r="R388" s="95">
        <v>71</v>
      </c>
      <c r="S388">
        <v>1000</v>
      </c>
      <c r="T388" s="96">
        <f t="shared" si="59"/>
        <v>70120</v>
      </c>
    </row>
    <row r="389" spans="1:20" ht="13.5" thickBot="1" x14ac:dyDescent="0.25">
      <c r="A389" s="93"/>
      <c r="B389" s="83">
        <v>4</v>
      </c>
      <c r="C389" s="84">
        <v>700000</v>
      </c>
      <c r="D389" s="102" t="s">
        <v>10</v>
      </c>
      <c r="E389" s="86">
        <v>53.7</v>
      </c>
      <c r="F389" s="88"/>
      <c r="G389" s="84">
        <f t="shared" si="55"/>
        <v>690000</v>
      </c>
      <c r="H389" s="88"/>
      <c r="I389" s="87">
        <f t="shared" si="56"/>
        <v>-1.4285714285714286</v>
      </c>
      <c r="J389" s="87">
        <f t="shared" si="57"/>
        <v>5.3474482135195736</v>
      </c>
      <c r="K389" s="88" t="e">
        <f t="shared" si="58"/>
        <v>#VALUE!</v>
      </c>
      <c r="L389" s="73"/>
      <c r="M389" s="100">
        <f>R389*10^6</f>
        <v>690000</v>
      </c>
      <c r="N389" s="103"/>
      <c r="O389" s="99">
        <v>4</v>
      </c>
      <c r="P389" s="93">
        <v>5</v>
      </c>
      <c r="Q389" s="94">
        <v>0.70920000000000005</v>
      </c>
      <c r="R389" s="95">
        <v>0.69</v>
      </c>
      <c r="S389">
        <v>1000000</v>
      </c>
      <c r="T389" s="96">
        <f t="shared" si="59"/>
        <v>709200</v>
      </c>
    </row>
    <row r="390" spans="1:20" ht="13.5" thickBot="1" x14ac:dyDescent="0.25">
      <c r="A390" s="93"/>
      <c r="B390" s="83">
        <v>5</v>
      </c>
      <c r="C390" s="84">
        <v>7000000</v>
      </c>
      <c r="D390" s="102" t="s">
        <v>11</v>
      </c>
      <c r="E390" s="86">
        <v>364.1</v>
      </c>
      <c r="F390" s="88"/>
      <c r="G390" s="84">
        <f t="shared" si="55"/>
        <v>7000000</v>
      </c>
      <c r="H390" s="88"/>
      <c r="I390" s="87">
        <f t="shared" si="56"/>
        <v>0</v>
      </c>
      <c r="J390" s="87">
        <f t="shared" si="57"/>
        <v>5.0999999999999996</v>
      </c>
      <c r="K390" s="88" t="e">
        <f t="shared" si="58"/>
        <v>#VALUE!</v>
      </c>
      <c r="L390" s="73"/>
      <c r="M390" s="100">
        <f>R390*10^6</f>
        <v>7000000</v>
      </c>
      <c r="N390" s="103"/>
      <c r="O390" s="99">
        <v>4</v>
      </c>
      <c r="P390" s="93"/>
      <c r="Q390" s="94">
        <v>7.5069999999999997</v>
      </c>
      <c r="R390" s="95">
        <v>7</v>
      </c>
      <c r="S390">
        <v>1000000</v>
      </c>
      <c r="T390" s="96">
        <f t="shared" si="59"/>
        <v>7507000</v>
      </c>
    </row>
    <row r="391" spans="1:20" ht="13.5" thickBot="1" x14ac:dyDescent="0.25">
      <c r="A391" s="93"/>
      <c r="B391" s="83">
        <v>6</v>
      </c>
      <c r="C391" s="84">
        <v>70000000</v>
      </c>
      <c r="D391" s="102" t="s">
        <v>11</v>
      </c>
      <c r="E391" s="86">
        <v>116.7</v>
      </c>
      <c r="F391" s="88"/>
      <c r="G391" s="84">
        <f t="shared" si="55"/>
        <v>69000000</v>
      </c>
      <c r="H391" s="88"/>
      <c r="I391" s="87">
        <f t="shared" si="56"/>
        <v>-1.4285714285714286</v>
      </c>
      <c r="J391" s="87">
        <f t="shared" si="57"/>
        <v>5.3474482135195736</v>
      </c>
      <c r="K391" s="88" t="e">
        <f t="shared" si="58"/>
        <v>#VALUE!</v>
      </c>
      <c r="L391" s="73"/>
      <c r="M391" s="100">
        <f>R391*10^6</f>
        <v>69000000</v>
      </c>
      <c r="N391" s="103"/>
      <c r="O391" s="99">
        <v>4</v>
      </c>
      <c r="P391" s="93"/>
      <c r="Q391" s="94">
        <v>71.7</v>
      </c>
      <c r="R391" s="95">
        <v>69</v>
      </c>
      <c r="S391">
        <v>1000000</v>
      </c>
      <c r="T391" s="96">
        <f t="shared" si="59"/>
        <v>71700000</v>
      </c>
    </row>
    <row r="392" spans="1:20" ht="13.5" thickBot="1" x14ac:dyDescent="0.25">
      <c r="A392" s="93"/>
      <c r="B392" s="83">
        <v>7</v>
      </c>
      <c r="C392" s="84">
        <v>700000000</v>
      </c>
      <c r="D392" s="102" t="s">
        <v>12</v>
      </c>
      <c r="E392" s="86">
        <v>240.9</v>
      </c>
      <c r="F392" s="88"/>
      <c r="G392" s="84">
        <f t="shared" si="55"/>
        <v>720000000</v>
      </c>
      <c r="H392" s="88"/>
      <c r="I392" s="87">
        <f t="shared" si="56"/>
        <v>2.8571428571428572</v>
      </c>
      <c r="J392" s="87">
        <f t="shared" si="57"/>
        <v>6.015614438310072</v>
      </c>
      <c r="K392" s="88" t="e">
        <f t="shared" si="58"/>
        <v>#VALUE!</v>
      </c>
      <c r="L392" s="73"/>
      <c r="M392" s="100">
        <f>R392*10^9</f>
        <v>720000000</v>
      </c>
      <c r="N392" s="103"/>
      <c r="O392" s="99">
        <v>4</v>
      </c>
      <c r="P392" s="93"/>
      <c r="Q392" s="94">
        <v>0.70069999999999999</v>
      </c>
      <c r="R392" s="95">
        <v>0.72</v>
      </c>
      <c r="S392" s="104">
        <v>1000000000</v>
      </c>
      <c r="T392" s="96">
        <f t="shared" si="59"/>
        <v>700700000</v>
      </c>
    </row>
    <row r="393" spans="1:20" ht="13.5" thickBot="1" x14ac:dyDescent="0.25">
      <c r="A393" s="105"/>
      <c r="B393" s="83">
        <v>8</v>
      </c>
      <c r="C393" s="84">
        <v>7000000000</v>
      </c>
      <c r="D393" s="102" t="s">
        <v>12</v>
      </c>
      <c r="E393" s="86">
        <v>77.5</v>
      </c>
      <c r="F393" s="88"/>
      <c r="G393" s="84">
        <f t="shared" si="55"/>
        <v>7000000000</v>
      </c>
      <c r="H393" s="88"/>
      <c r="I393" s="87">
        <f t="shared" si="56"/>
        <v>0</v>
      </c>
      <c r="J393" s="87">
        <f t="shared" si="57"/>
        <v>5.0999999999999996</v>
      </c>
      <c r="K393" s="88" t="e">
        <f t="shared" si="58"/>
        <v>#VALUE!</v>
      </c>
      <c r="L393" s="106"/>
      <c r="M393" s="100">
        <f>R393*10^9</f>
        <v>7000000000</v>
      </c>
      <c r="N393" s="107"/>
      <c r="O393" s="108">
        <v>4</v>
      </c>
      <c r="P393" s="105"/>
      <c r="Q393" s="94">
        <v>6.9909999999999997</v>
      </c>
      <c r="R393" s="95">
        <v>7</v>
      </c>
      <c r="S393" s="104">
        <v>1000000000</v>
      </c>
      <c r="T393" s="96">
        <f t="shared" si="59"/>
        <v>6991000000</v>
      </c>
    </row>
    <row r="395" spans="1:20" x14ac:dyDescent="0.2">
      <c r="B395" s="111">
        <v>926</v>
      </c>
    </row>
    <row r="396" spans="1:20" ht="12" thickBot="1" x14ac:dyDescent="0.25"/>
    <row r="397" spans="1:20" ht="13.5" thickBot="1" x14ac:dyDescent="0.25">
      <c r="A397" s="56"/>
      <c r="B397" s="57"/>
      <c r="C397" s="58" t="s">
        <v>0</v>
      </c>
      <c r="D397" s="57"/>
      <c r="E397" s="59"/>
      <c r="F397" s="60" t="s">
        <v>1</v>
      </c>
      <c r="G397" s="61"/>
      <c r="H397" s="59"/>
      <c r="I397" s="62"/>
      <c r="J397" s="63"/>
      <c r="K397" s="63"/>
      <c r="M397" s="64"/>
      <c r="O397" s="65"/>
    </row>
    <row r="398" spans="1:20" ht="12.75" x14ac:dyDescent="0.2">
      <c r="A398" s="56"/>
      <c r="B398" s="66"/>
      <c r="C398" s="67"/>
      <c r="D398" s="68"/>
      <c r="E398" s="69"/>
      <c r="F398" s="70"/>
      <c r="G398" s="70"/>
      <c r="H398" s="69"/>
      <c r="I398" s="71"/>
      <c r="J398" s="72"/>
      <c r="K398" s="72"/>
      <c r="L398" s="73"/>
      <c r="M398" s="64"/>
    </row>
    <row r="399" spans="1:20" ht="12.75" x14ac:dyDescent="0.2">
      <c r="A399" s="56"/>
      <c r="B399" s="66"/>
      <c r="C399" s="71"/>
      <c r="D399" s="67"/>
      <c r="E399" s="69"/>
      <c r="F399" s="70" t="s">
        <v>0</v>
      </c>
      <c r="G399" s="70" t="s">
        <v>0</v>
      </c>
      <c r="H399" s="69"/>
      <c r="I399" s="72"/>
      <c r="J399" s="72"/>
      <c r="K399" s="72"/>
      <c r="L399" s="73"/>
      <c r="M399" s="64"/>
    </row>
    <row r="400" spans="1:20" ht="13.5" thickBot="1" x14ac:dyDescent="0.25">
      <c r="A400" s="74"/>
      <c r="B400" s="75" t="s">
        <v>2</v>
      </c>
      <c r="C400" s="76" t="s">
        <v>3</v>
      </c>
      <c r="D400" s="77" t="s">
        <v>2</v>
      </c>
      <c r="E400" s="78" t="s">
        <v>4</v>
      </c>
      <c r="F400" s="79" t="s">
        <v>3</v>
      </c>
      <c r="G400" s="79" t="s">
        <v>3</v>
      </c>
      <c r="H400" s="78" t="s">
        <v>5</v>
      </c>
      <c r="I400" s="79" t="s">
        <v>6</v>
      </c>
      <c r="J400" s="79" t="s">
        <v>6</v>
      </c>
      <c r="K400" s="80">
        <v>0.15</v>
      </c>
      <c r="M400" s="64"/>
      <c r="N400" s="81" t="s">
        <v>7</v>
      </c>
    </row>
    <row r="401" spans="1:20" ht="14.25" thickTop="1" thickBot="1" x14ac:dyDescent="0.25">
      <c r="A401" s="82"/>
      <c r="B401" s="83">
        <v>1</v>
      </c>
      <c r="C401" s="84">
        <v>700</v>
      </c>
      <c r="D401" s="85" t="s">
        <v>8</v>
      </c>
      <c r="E401" s="86">
        <v>241.9</v>
      </c>
      <c r="F401" s="112">
        <f>N401</f>
        <v>96</v>
      </c>
      <c r="G401" s="84">
        <f t="shared" ref="G401:G408" si="60">M401</f>
        <v>790</v>
      </c>
      <c r="H401" s="84">
        <f>G401-N401</f>
        <v>694</v>
      </c>
      <c r="I401" s="87">
        <f t="shared" ref="I401:I408" si="61">((G401-N401)-C401)/C401*100</f>
        <v>-0.85714285714285721</v>
      </c>
      <c r="J401" s="87">
        <f t="shared" ref="J401:J408" si="62">1.1+SQRT(O401^2+I401^2)</f>
        <v>6.1729374013042015</v>
      </c>
      <c r="K401" s="88" t="e">
        <f t="shared" ref="K401:K408" si="63">TEXT(J401,"0.0")&amp;"&lt;15"</f>
        <v>#VALUE!</v>
      </c>
      <c r="L401" s="89"/>
      <c r="M401" s="90">
        <f>R401*10^3+100</f>
        <v>790</v>
      </c>
      <c r="N401" s="91">
        <v>96</v>
      </c>
      <c r="O401" s="92">
        <v>5</v>
      </c>
      <c r="P401" s="93">
        <f>A401</f>
        <v>0</v>
      </c>
      <c r="Q401" s="94">
        <v>0.82040000000000002</v>
      </c>
      <c r="R401" s="95">
        <v>0.69</v>
      </c>
      <c r="S401">
        <v>1000</v>
      </c>
      <c r="T401" s="96">
        <f t="shared" ref="T401:T408" si="64">Q401*S401</f>
        <v>820.4</v>
      </c>
    </row>
    <row r="402" spans="1:20" ht="13.5" thickBot="1" x14ac:dyDescent="0.25">
      <c r="A402" s="97" t="s">
        <v>31</v>
      </c>
      <c r="B402" s="83">
        <v>2</v>
      </c>
      <c r="C402" s="84">
        <v>7000</v>
      </c>
      <c r="D402" s="85" t="s">
        <v>8</v>
      </c>
      <c r="E402" s="86">
        <v>77.400000000000006</v>
      </c>
      <c r="F402" s="112"/>
      <c r="G402" s="84">
        <f t="shared" si="60"/>
        <v>7100</v>
      </c>
      <c r="H402" s="84">
        <f>G402-N402</f>
        <v>7004</v>
      </c>
      <c r="I402" s="87">
        <f t="shared" si="61"/>
        <v>5.7142857142857148E-2</v>
      </c>
      <c r="J402" s="87">
        <f t="shared" si="62"/>
        <v>6.1003265199507162</v>
      </c>
      <c r="K402" s="88" t="e">
        <f t="shared" si="63"/>
        <v>#VALUE!</v>
      </c>
      <c r="L402" s="73"/>
      <c r="M402" s="90">
        <f>R402*10^3+100</f>
        <v>7100</v>
      </c>
      <c r="N402" s="98">
        <f>N401</f>
        <v>96</v>
      </c>
      <c r="O402" s="99">
        <v>5</v>
      </c>
      <c r="P402" s="93" t="e">
        <f>'[1]Калибровочные значения'!#REF!</f>
        <v>#REF!</v>
      </c>
      <c r="Q402" s="94">
        <v>6.9059999999999997</v>
      </c>
      <c r="R402" s="95">
        <v>7</v>
      </c>
      <c r="S402">
        <v>1000</v>
      </c>
      <c r="T402" s="96">
        <f t="shared" si="64"/>
        <v>6906</v>
      </c>
    </row>
    <row r="403" spans="1:20" ht="13.5" thickBot="1" x14ac:dyDescent="0.25">
      <c r="A403" s="93"/>
      <c r="B403" s="83">
        <v>3</v>
      </c>
      <c r="C403" s="84">
        <v>70000</v>
      </c>
      <c r="D403" s="85" t="s">
        <v>10</v>
      </c>
      <c r="E403" s="86">
        <v>167.3</v>
      </c>
      <c r="F403" s="112"/>
      <c r="G403" s="84">
        <f t="shared" si="60"/>
        <v>70100</v>
      </c>
      <c r="H403" s="84">
        <f>G403-N403</f>
        <v>70004</v>
      </c>
      <c r="I403" s="87">
        <f t="shared" si="61"/>
        <v>5.7142857142857143E-3</v>
      </c>
      <c r="J403" s="87">
        <f t="shared" si="62"/>
        <v>5.100004081630571</v>
      </c>
      <c r="K403" s="88" t="e">
        <f t="shared" si="63"/>
        <v>#VALUE!</v>
      </c>
      <c r="L403" s="73"/>
      <c r="M403" s="100">
        <f>R403*10^3+100</f>
        <v>70100</v>
      </c>
      <c r="N403" s="98">
        <f>N401</f>
        <v>96</v>
      </c>
      <c r="O403" s="99">
        <v>4</v>
      </c>
      <c r="P403" s="101" t="e">
        <f>'[1]Калибровочные значения'!#REF!</f>
        <v>#REF!</v>
      </c>
      <c r="Q403" s="94">
        <v>70.12</v>
      </c>
      <c r="R403" s="95">
        <v>70</v>
      </c>
      <c r="S403">
        <v>1000</v>
      </c>
      <c r="T403" s="96">
        <f t="shared" si="64"/>
        <v>70120</v>
      </c>
    </row>
    <row r="404" spans="1:20" ht="13.5" thickBot="1" x14ac:dyDescent="0.25">
      <c r="A404" s="93"/>
      <c r="B404" s="83">
        <v>4</v>
      </c>
      <c r="C404" s="84">
        <v>700000</v>
      </c>
      <c r="D404" s="102" t="s">
        <v>10</v>
      </c>
      <c r="E404" s="86">
        <v>53.7</v>
      </c>
      <c r="F404" s="88"/>
      <c r="G404" s="84">
        <f t="shared" si="60"/>
        <v>690000</v>
      </c>
      <c r="H404" s="88"/>
      <c r="I404" s="87">
        <f t="shared" si="61"/>
        <v>-1.4285714285714286</v>
      </c>
      <c r="J404" s="87">
        <f t="shared" si="62"/>
        <v>5.3474482135195736</v>
      </c>
      <c r="K404" s="88" t="e">
        <f t="shared" si="63"/>
        <v>#VALUE!</v>
      </c>
      <c r="L404" s="73"/>
      <c r="M404" s="100">
        <f>R404*10^6</f>
        <v>690000</v>
      </c>
      <c r="N404" s="103"/>
      <c r="O404" s="99">
        <v>4</v>
      </c>
      <c r="P404" s="93">
        <v>5</v>
      </c>
      <c r="Q404" s="94">
        <v>0.70920000000000005</v>
      </c>
      <c r="R404" s="95">
        <v>0.69</v>
      </c>
      <c r="S404">
        <v>1000000</v>
      </c>
      <c r="T404" s="96">
        <f t="shared" si="64"/>
        <v>709200</v>
      </c>
    </row>
    <row r="405" spans="1:20" ht="13.5" thickBot="1" x14ac:dyDescent="0.25">
      <c r="A405" s="93"/>
      <c r="B405" s="83">
        <v>5</v>
      </c>
      <c r="C405" s="84">
        <v>7000000</v>
      </c>
      <c r="D405" s="102" t="s">
        <v>11</v>
      </c>
      <c r="E405" s="86">
        <v>364.1</v>
      </c>
      <c r="F405" s="88"/>
      <c r="G405" s="84">
        <f t="shared" si="60"/>
        <v>6900000</v>
      </c>
      <c r="H405" s="88"/>
      <c r="I405" s="87">
        <f t="shared" si="61"/>
        <v>-1.4285714285714286</v>
      </c>
      <c r="J405" s="87">
        <f t="shared" si="62"/>
        <v>5.3474482135195736</v>
      </c>
      <c r="K405" s="88" t="e">
        <f t="shared" si="63"/>
        <v>#VALUE!</v>
      </c>
      <c r="L405" s="73"/>
      <c r="M405" s="100">
        <f>R405*10^6</f>
        <v>6900000</v>
      </c>
      <c r="N405" s="103"/>
      <c r="O405" s="99">
        <v>4</v>
      </c>
      <c r="P405" s="93"/>
      <c r="Q405" s="94">
        <v>7.5069999999999997</v>
      </c>
      <c r="R405" s="95">
        <v>6.9</v>
      </c>
      <c r="S405">
        <v>1000000</v>
      </c>
      <c r="T405" s="96">
        <f t="shared" si="64"/>
        <v>7507000</v>
      </c>
    </row>
    <row r="406" spans="1:20" ht="13.5" thickBot="1" x14ac:dyDescent="0.25">
      <c r="A406" s="93"/>
      <c r="B406" s="83">
        <v>6</v>
      </c>
      <c r="C406" s="84">
        <v>70000000</v>
      </c>
      <c r="D406" s="102" t="s">
        <v>11</v>
      </c>
      <c r="E406" s="86">
        <v>116.7</v>
      </c>
      <c r="F406" s="88"/>
      <c r="G406" s="84">
        <f t="shared" si="60"/>
        <v>68000000</v>
      </c>
      <c r="H406" s="88"/>
      <c r="I406" s="87">
        <f t="shared" si="61"/>
        <v>-2.8571428571428572</v>
      </c>
      <c r="J406" s="87">
        <f t="shared" si="62"/>
        <v>6.015614438310072</v>
      </c>
      <c r="K406" s="88" t="e">
        <f t="shared" si="63"/>
        <v>#VALUE!</v>
      </c>
      <c r="L406" s="73"/>
      <c r="M406" s="100">
        <f>R406*10^6</f>
        <v>68000000</v>
      </c>
      <c r="N406" s="103"/>
      <c r="O406" s="99">
        <v>4</v>
      </c>
      <c r="P406" s="93"/>
      <c r="Q406" s="94">
        <v>71.7</v>
      </c>
      <c r="R406" s="95">
        <v>68</v>
      </c>
      <c r="S406">
        <v>1000000</v>
      </c>
      <c r="T406" s="96">
        <f t="shared" si="64"/>
        <v>71700000</v>
      </c>
    </row>
    <row r="407" spans="1:20" ht="13.5" thickBot="1" x14ac:dyDescent="0.25">
      <c r="A407" s="93"/>
      <c r="B407" s="83">
        <v>7</v>
      </c>
      <c r="C407" s="84">
        <v>700000000</v>
      </c>
      <c r="D407" s="102" t="s">
        <v>12</v>
      </c>
      <c r="E407" s="86">
        <v>240.9</v>
      </c>
      <c r="F407" s="88"/>
      <c r="G407" s="84">
        <f t="shared" si="60"/>
        <v>710000000</v>
      </c>
      <c r="H407" s="88"/>
      <c r="I407" s="87">
        <f t="shared" si="61"/>
        <v>1.4285714285714286</v>
      </c>
      <c r="J407" s="87">
        <f t="shared" si="62"/>
        <v>5.3474482135195736</v>
      </c>
      <c r="K407" s="88" t="e">
        <f t="shared" si="63"/>
        <v>#VALUE!</v>
      </c>
      <c r="L407" s="73"/>
      <c r="M407" s="100">
        <f>R407*10^9</f>
        <v>710000000</v>
      </c>
      <c r="N407" s="103"/>
      <c r="O407" s="99">
        <v>4</v>
      </c>
      <c r="P407" s="93"/>
      <c r="Q407" s="94">
        <v>0.70069999999999999</v>
      </c>
      <c r="R407" s="95">
        <v>0.71</v>
      </c>
      <c r="S407" s="104">
        <v>1000000000</v>
      </c>
      <c r="T407" s="96">
        <f t="shared" si="64"/>
        <v>700700000</v>
      </c>
    </row>
    <row r="408" spans="1:20" ht="13.5" thickBot="1" x14ac:dyDescent="0.25">
      <c r="A408" s="105"/>
      <c r="B408" s="83">
        <v>8</v>
      </c>
      <c r="C408" s="84">
        <v>7000000000</v>
      </c>
      <c r="D408" s="102" t="s">
        <v>12</v>
      </c>
      <c r="E408" s="86">
        <v>77.5</v>
      </c>
      <c r="F408" s="88"/>
      <c r="G408" s="84">
        <f t="shared" si="60"/>
        <v>7000000000</v>
      </c>
      <c r="H408" s="88"/>
      <c r="I408" s="87">
        <f t="shared" si="61"/>
        <v>0</v>
      </c>
      <c r="J408" s="87">
        <f t="shared" si="62"/>
        <v>5.0999999999999996</v>
      </c>
      <c r="K408" s="88" t="e">
        <f t="shared" si="63"/>
        <v>#VALUE!</v>
      </c>
      <c r="L408" s="106"/>
      <c r="M408" s="100">
        <f>R408*10^9</f>
        <v>7000000000</v>
      </c>
      <c r="N408" s="107"/>
      <c r="O408" s="108">
        <v>4</v>
      </c>
      <c r="P408" s="105"/>
      <c r="Q408" s="94">
        <v>6.9909999999999997</v>
      </c>
      <c r="R408" s="95">
        <v>7</v>
      </c>
      <c r="S408" s="104">
        <v>1000000000</v>
      </c>
      <c r="T408" s="96">
        <f t="shared" si="64"/>
        <v>6991000000</v>
      </c>
    </row>
    <row r="411" spans="1:20" ht="12" thickBot="1" x14ac:dyDescent="0.25"/>
    <row r="412" spans="1:20" ht="13.5" thickBot="1" x14ac:dyDescent="0.25">
      <c r="A412" s="56"/>
      <c r="B412" s="57"/>
      <c r="C412" s="58" t="s">
        <v>0</v>
      </c>
      <c r="D412" s="57"/>
      <c r="E412" s="59"/>
      <c r="F412" s="60" t="s">
        <v>1</v>
      </c>
      <c r="G412" s="61"/>
      <c r="H412" s="59"/>
      <c r="I412" s="62"/>
      <c r="J412" s="63"/>
      <c r="K412" s="63"/>
      <c r="M412" s="64"/>
      <c r="O412" s="65"/>
    </row>
    <row r="413" spans="1:20" ht="12.75" x14ac:dyDescent="0.2">
      <c r="A413" s="56"/>
      <c r="B413" s="66"/>
      <c r="C413" s="67"/>
      <c r="D413" s="68"/>
      <c r="E413" s="69"/>
      <c r="F413" s="70"/>
      <c r="G413" s="70"/>
      <c r="H413" s="69"/>
      <c r="I413" s="71"/>
      <c r="J413" s="72"/>
      <c r="K413" s="72"/>
      <c r="L413" s="73"/>
      <c r="M413" s="64"/>
    </row>
    <row r="414" spans="1:20" ht="12.75" x14ac:dyDescent="0.2">
      <c r="A414" s="56"/>
      <c r="B414" s="66"/>
      <c r="C414" s="71"/>
      <c r="D414" s="67"/>
      <c r="E414" s="69"/>
      <c r="F414" s="70" t="s">
        <v>0</v>
      </c>
      <c r="G414" s="70" t="s">
        <v>0</v>
      </c>
      <c r="H414" s="69"/>
      <c r="I414" s="72"/>
      <c r="J414" s="72"/>
      <c r="K414" s="72"/>
      <c r="L414" s="73"/>
      <c r="M414" s="64"/>
    </row>
    <row r="415" spans="1:20" ht="13.5" thickBot="1" x14ac:dyDescent="0.25">
      <c r="A415" s="74"/>
      <c r="B415" s="75" t="s">
        <v>2</v>
      </c>
      <c r="C415" s="76" t="s">
        <v>3</v>
      </c>
      <c r="D415" s="77" t="s">
        <v>2</v>
      </c>
      <c r="E415" s="78" t="s">
        <v>4</v>
      </c>
      <c r="F415" s="79" t="s">
        <v>3</v>
      </c>
      <c r="G415" s="79" t="s">
        <v>3</v>
      </c>
      <c r="H415" s="78" t="s">
        <v>5</v>
      </c>
      <c r="I415" s="79" t="s">
        <v>6</v>
      </c>
      <c r="J415" s="79" t="s">
        <v>6</v>
      </c>
      <c r="K415" s="80">
        <v>0.15</v>
      </c>
      <c r="M415" s="64"/>
      <c r="N415" s="81" t="s">
        <v>7</v>
      </c>
    </row>
    <row r="416" spans="1:20" ht="14.25" thickTop="1" thickBot="1" x14ac:dyDescent="0.25">
      <c r="A416" s="82"/>
      <c r="B416" s="83">
        <v>1</v>
      </c>
      <c r="C416" s="84">
        <v>700</v>
      </c>
      <c r="D416" s="85" t="s">
        <v>8</v>
      </c>
      <c r="E416" s="86">
        <v>241.9</v>
      </c>
      <c r="F416" s="112">
        <f>N416</f>
        <v>112</v>
      </c>
      <c r="G416" s="84">
        <f t="shared" ref="G416:G423" si="65">M416</f>
        <v>800</v>
      </c>
      <c r="H416" s="84">
        <f>G416-N416</f>
        <v>688</v>
      </c>
      <c r="I416" s="87">
        <f t="shared" ref="I416:I423" si="66">((G416-N416)-C416)/C416*100</f>
        <v>-1.7142857142857144</v>
      </c>
      <c r="J416" s="87">
        <f t="shared" ref="J416:J423" si="67">1.1+SQRT(O416^2+I416^2)</f>
        <v>6.3857142857142861</v>
      </c>
      <c r="K416" s="88" t="e">
        <f t="shared" ref="K416:K423" si="68">TEXT(J416,"0.0")&amp;"&lt;15"</f>
        <v>#VALUE!</v>
      </c>
      <c r="L416" s="89"/>
      <c r="M416" s="90">
        <f>R416*10^3+100</f>
        <v>800</v>
      </c>
      <c r="N416" s="91">
        <v>112</v>
      </c>
      <c r="O416" s="92">
        <v>5</v>
      </c>
      <c r="P416" s="93">
        <f>A416</f>
        <v>0</v>
      </c>
      <c r="Q416" s="94">
        <v>0.82040000000000002</v>
      </c>
      <c r="R416" s="95">
        <v>0.7</v>
      </c>
      <c r="S416">
        <v>1000</v>
      </c>
      <c r="T416" s="96">
        <f t="shared" ref="T416:T423" si="69">Q416*S416</f>
        <v>820.4</v>
      </c>
    </row>
    <row r="417" spans="1:20" ht="13.5" thickBot="1" x14ac:dyDescent="0.25">
      <c r="A417" s="97" t="s">
        <v>32</v>
      </c>
      <c r="B417" s="83">
        <v>2</v>
      </c>
      <c r="C417" s="84">
        <v>7000</v>
      </c>
      <c r="D417" s="85" t="s">
        <v>8</v>
      </c>
      <c r="E417" s="86">
        <v>77.400000000000006</v>
      </c>
      <c r="F417" s="112"/>
      <c r="G417" s="84">
        <f t="shared" si="65"/>
        <v>7200</v>
      </c>
      <c r="H417" s="84">
        <f>G417-N417</f>
        <v>7088</v>
      </c>
      <c r="I417" s="87">
        <f t="shared" si="66"/>
        <v>1.2571428571428571</v>
      </c>
      <c r="J417" s="87">
        <f t="shared" si="67"/>
        <v>6.2556190863237084</v>
      </c>
      <c r="K417" s="88" t="e">
        <f t="shared" si="68"/>
        <v>#VALUE!</v>
      </c>
      <c r="L417" s="73"/>
      <c r="M417" s="90">
        <f>R417*10^3+100</f>
        <v>7200</v>
      </c>
      <c r="N417" s="98">
        <f>N416</f>
        <v>112</v>
      </c>
      <c r="O417" s="99">
        <v>5</v>
      </c>
      <c r="P417" s="93" t="e">
        <f>'[1]Калибровочные значения'!#REF!</f>
        <v>#REF!</v>
      </c>
      <c r="Q417" s="94">
        <v>6.9059999999999997</v>
      </c>
      <c r="R417" s="95">
        <v>7.1</v>
      </c>
      <c r="S417">
        <v>1000</v>
      </c>
      <c r="T417" s="96">
        <f t="shared" si="69"/>
        <v>6906</v>
      </c>
    </row>
    <row r="418" spans="1:20" ht="13.5" thickBot="1" x14ac:dyDescent="0.25">
      <c r="A418" s="93"/>
      <c r="B418" s="83">
        <v>3</v>
      </c>
      <c r="C418" s="84">
        <v>70000</v>
      </c>
      <c r="D418" s="85" t="s">
        <v>10</v>
      </c>
      <c r="E418" s="86">
        <v>167.3</v>
      </c>
      <c r="F418" s="112"/>
      <c r="G418" s="84">
        <f t="shared" si="65"/>
        <v>72100</v>
      </c>
      <c r="H418" s="84">
        <f>G418-N418</f>
        <v>71988</v>
      </c>
      <c r="I418" s="87">
        <f t="shared" si="66"/>
        <v>2.8400000000000003</v>
      </c>
      <c r="J418" s="87">
        <f t="shared" si="67"/>
        <v>6.0056701886694341</v>
      </c>
      <c r="K418" s="88" t="e">
        <f t="shared" si="68"/>
        <v>#VALUE!</v>
      </c>
      <c r="L418" s="73"/>
      <c r="M418" s="100">
        <f>R418*10^3+100</f>
        <v>72100</v>
      </c>
      <c r="N418" s="98">
        <f>N416</f>
        <v>112</v>
      </c>
      <c r="O418" s="99">
        <v>4</v>
      </c>
      <c r="P418" s="101" t="e">
        <f>'[1]Калибровочные значения'!#REF!</f>
        <v>#REF!</v>
      </c>
      <c r="Q418" s="94">
        <v>70.12</v>
      </c>
      <c r="R418" s="95">
        <v>72</v>
      </c>
      <c r="S418">
        <v>1000</v>
      </c>
      <c r="T418" s="96">
        <f t="shared" si="69"/>
        <v>70120</v>
      </c>
    </row>
    <row r="419" spans="1:20" ht="13.5" thickBot="1" x14ac:dyDescent="0.25">
      <c r="A419" s="93"/>
      <c r="B419" s="83">
        <v>4</v>
      </c>
      <c r="C419" s="84">
        <v>700000</v>
      </c>
      <c r="D419" s="102" t="s">
        <v>10</v>
      </c>
      <c r="E419" s="86">
        <v>53.7</v>
      </c>
      <c r="F419" s="88"/>
      <c r="G419" s="84">
        <f t="shared" si="65"/>
        <v>690000</v>
      </c>
      <c r="H419" s="88"/>
      <c r="I419" s="87">
        <f t="shared" si="66"/>
        <v>-1.4285714285714286</v>
      </c>
      <c r="J419" s="87">
        <f t="shared" si="67"/>
        <v>5.3474482135195736</v>
      </c>
      <c r="K419" s="88" t="e">
        <f t="shared" si="68"/>
        <v>#VALUE!</v>
      </c>
      <c r="L419" s="73"/>
      <c r="M419" s="100">
        <f>R419*10^6</f>
        <v>690000</v>
      </c>
      <c r="N419" s="103"/>
      <c r="O419" s="99">
        <v>4</v>
      </c>
      <c r="P419" s="93">
        <v>5</v>
      </c>
      <c r="Q419" s="94">
        <v>0.70920000000000005</v>
      </c>
      <c r="R419" s="95">
        <v>0.69</v>
      </c>
      <c r="S419">
        <v>1000000</v>
      </c>
      <c r="T419" s="96">
        <f t="shared" si="69"/>
        <v>709200</v>
      </c>
    </row>
    <row r="420" spans="1:20" ht="13.5" thickBot="1" x14ac:dyDescent="0.25">
      <c r="A420" s="93"/>
      <c r="B420" s="83">
        <v>5</v>
      </c>
      <c r="C420" s="84">
        <v>7000000</v>
      </c>
      <c r="D420" s="102" t="s">
        <v>11</v>
      </c>
      <c r="E420" s="86">
        <v>364.1</v>
      </c>
      <c r="F420" s="88"/>
      <c r="G420" s="84">
        <f t="shared" si="65"/>
        <v>7100000</v>
      </c>
      <c r="H420" s="88"/>
      <c r="I420" s="87">
        <f t="shared" si="66"/>
        <v>1.4285714285714286</v>
      </c>
      <c r="J420" s="87">
        <f t="shared" si="67"/>
        <v>5.3474482135195736</v>
      </c>
      <c r="K420" s="88" t="e">
        <f t="shared" si="68"/>
        <v>#VALUE!</v>
      </c>
      <c r="L420" s="73"/>
      <c r="M420" s="100">
        <f>R420*10^6</f>
        <v>7100000</v>
      </c>
      <c r="N420" s="103"/>
      <c r="O420" s="99">
        <v>4</v>
      </c>
      <c r="P420" s="93"/>
      <c r="Q420" s="94">
        <v>7.5069999999999997</v>
      </c>
      <c r="R420" s="95">
        <v>7.1</v>
      </c>
      <c r="S420">
        <v>1000000</v>
      </c>
      <c r="T420" s="96">
        <f t="shared" si="69"/>
        <v>7507000</v>
      </c>
    </row>
    <row r="421" spans="1:20" ht="13.5" thickBot="1" x14ac:dyDescent="0.25">
      <c r="A421" s="93"/>
      <c r="B421" s="83">
        <v>6</v>
      </c>
      <c r="C421" s="84">
        <v>70000000</v>
      </c>
      <c r="D421" s="102" t="s">
        <v>11</v>
      </c>
      <c r="E421" s="86">
        <v>116.7</v>
      </c>
      <c r="F421" s="88"/>
      <c r="G421" s="84">
        <f t="shared" si="65"/>
        <v>69000000</v>
      </c>
      <c r="H421" s="88"/>
      <c r="I421" s="87">
        <f t="shared" si="66"/>
        <v>-1.4285714285714286</v>
      </c>
      <c r="J421" s="87">
        <f t="shared" si="67"/>
        <v>5.3474482135195736</v>
      </c>
      <c r="K421" s="88" t="e">
        <f t="shared" si="68"/>
        <v>#VALUE!</v>
      </c>
      <c r="L421" s="73"/>
      <c r="M421" s="100">
        <f>R421*10^6</f>
        <v>69000000</v>
      </c>
      <c r="N421" s="103"/>
      <c r="O421" s="99">
        <v>4</v>
      </c>
      <c r="P421" s="93"/>
      <c r="Q421" s="94">
        <v>71.7</v>
      </c>
      <c r="R421" s="95">
        <v>69</v>
      </c>
      <c r="S421">
        <v>1000000</v>
      </c>
      <c r="T421" s="96">
        <f t="shared" si="69"/>
        <v>71700000</v>
      </c>
    </row>
    <row r="422" spans="1:20" ht="13.5" thickBot="1" x14ac:dyDescent="0.25">
      <c r="A422" s="93"/>
      <c r="B422" s="83">
        <v>7</v>
      </c>
      <c r="C422" s="84">
        <v>700000000</v>
      </c>
      <c r="D422" s="102" t="s">
        <v>12</v>
      </c>
      <c r="E422" s="86">
        <v>240.9</v>
      </c>
      <c r="F422" s="88"/>
      <c r="G422" s="84">
        <f t="shared" si="65"/>
        <v>690000000</v>
      </c>
      <c r="H422" s="88"/>
      <c r="I422" s="87">
        <f t="shared" si="66"/>
        <v>-1.4285714285714286</v>
      </c>
      <c r="J422" s="87">
        <f t="shared" si="67"/>
        <v>5.3474482135195736</v>
      </c>
      <c r="K422" s="88" t="e">
        <f t="shared" si="68"/>
        <v>#VALUE!</v>
      </c>
      <c r="L422" s="73"/>
      <c r="M422" s="100">
        <f>R422*10^9</f>
        <v>690000000</v>
      </c>
      <c r="N422" s="103"/>
      <c r="O422" s="99">
        <v>4</v>
      </c>
      <c r="P422" s="93"/>
      <c r="Q422" s="94">
        <v>0.70069999999999999</v>
      </c>
      <c r="R422" s="95">
        <v>0.69</v>
      </c>
      <c r="S422" s="104">
        <v>1000000000</v>
      </c>
      <c r="T422" s="96">
        <f t="shared" si="69"/>
        <v>700700000</v>
      </c>
    </row>
    <row r="423" spans="1:20" ht="13.5" thickBot="1" x14ac:dyDescent="0.25">
      <c r="A423" s="105"/>
      <c r="B423" s="83">
        <v>8</v>
      </c>
      <c r="C423" s="84">
        <v>7000000000</v>
      </c>
      <c r="D423" s="102" t="s">
        <v>12</v>
      </c>
      <c r="E423" s="86">
        <v>77.5</v>
      </c>
      <c r="F423" s="88"/>
      <c r="G423" s="84">
        <f t="shared" si="65"/>
        <v>7100000000</v>
      </c>
      <c r="H423" s="88"/>
      <c r="I423" s="87">
        <f t="shared" si="66"/>
        <v>1.4285714285714286</v>
      </c>
      <c r="J423" s="87">
        <f t="shared" si="67"/>
        <v>5.3474482135195736</v>
      </c>
      <c r="K423" s="88" t="e">
        <f t="shared" si="68"/>
        <v>#VALUE!</v>
      </c>
      <c r="L423" s="106"/>
      <c r="M423" s="100">
        <f>R423*10^9</f>
        <v>7100000000</v>
      </c>
      <c r="N423" s="107"/>
      <c r="O423" s="108">
        <v>4</v>
      </c>
      <c r="P423" s="105"/>
      <c r="Q423" s="94">
        <v>6.9909999999999997</v>
      </c>
      <c r="R423" s="95">
        <v>7.1</v>
      </c>
      <c r="S423" s="104">
        <v>1000000000</v>
      </c>
      <c r="T423" s="96">
        <f t="shared" si="69"/>
        <v>6991000000</v>
      </c>
    </row>
    <row r="425" spans="1:20" x14ac:dyDescent="0.2">
      <c r="A425" s="116" t="s">
        <v>33</v>
      </c>
      <c r="B425" s="116"/>
      <c r="C425" s="116"/>
      <c r="D425" s="116"/>
    </row>
  </sheetData>
  <mergeCells count="28">
    <mergeCell ref="F386:F388"/>
    <mergeCell ref="F401:F403"/>
    <mergeCell ref="F341:F343"/>
    <mergeCell ref="F356:F358"/>
    <mergeCell ref="F371:F373"/>
    <mergeCell ref="F204:F206"/>
    <mergeCell ref="F326:F328"/>
    <mergeCell ref="F250:F252"/>
    <mergeCell ref="F296:F298"/>
    <mergeCell ref="F311:F313"/>
    <mergeCell ref="F280:F282"/>
    <mergeCell ref="F265:F267"/>
    <mergeCell ref="F416:F418"/>
    <mergeCell ref="F99:F101"/>
    <mergeCell ref="F114:F116"/>
    <mergeCell ref="F129:F131"/>
    <mergeCell ref="F9:F11"/>
    <mergeCell ref="F84:F86"/>
    <mergeCell ref="F24:F26"/>
    <mergeCell ref="F39:F41"/>
    <mergeCell ref="F54:F56"/>
    <mergeCell ref="F69:F71"/>
    <mergeCell ref="F144:F146"/>
    <mergeCell ref="F159:F161"/>
    <mergeCell ref="F174:F176"/>
    <mergeCell ref="F219:F221"/>
    <mergeCell ref="F235:F237"/>
    <mergeCell ref="F189:F19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>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MX</dc:creator>
  <cp:lastModifiedBy>Пользователь Windows</cp:lastModifiedBy>
  <dcterms:created xsi:type="dcterms:W3CDTF">2018-03-13T09:07:20Z</dcterms:created>
  <dcterms:modified xsi:type="dcterms:W3CDTF">2018-07-25T14:49:15Z</dcterms:modified>
</cp:coreProperties>
</file>