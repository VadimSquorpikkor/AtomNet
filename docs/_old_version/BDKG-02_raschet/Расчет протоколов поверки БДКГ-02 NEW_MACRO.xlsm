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" windowWidth="16830" windowHeight="8130" tabRatio="153"/>
  </bookViews>
  <sheets>
    <sheet name="Sheet1" sheetId="1" r:id="rId1"/>
  </sheets>
  <externalReferences>
    <externalReference r:id="rId2"/>
  </externalReferences>
  <calcPr calcId="145621"/>
  <fileRecoveryPr repairLoad="1"/>
</workbook>
</file>

<file path=xl/calcChain.xml><?xml version="1.0" encoding="utf-8"?>
<calcChain xmlns="http://schemas.openxmlformats.org/spreadsheetml/2006/main">
  <c r="T31" i="1" l="1"/>
  <c r="M31" i="1"/>
  <c r="G31" i="1"/>
  <c r="I31" i="1" s="1"/>
  <c r="J31" i="1" s="1"/>
  <c r="K31" i="1" s="1"/>
  <c r="T30" i="1"/>
  <c r="M30" i="1"/>
  <c r="G30" i="1" s="1"/>
  <c r="I30" i="1" s="1"/>
  <c r="J30" i="1" s="1"/>
  <c r="K30" i="1" s="1"/>
  <c r="T29" i="1"/>
  <c r="M29" i="1"/>
  <c r="G29" i="1" s="1"/>
  <c r="I29" i="1" s="1"/>
  <c r="J29" i="1" s="1"/>
  <c r="K29" i="1" s="1"/>
  <c r="T28" i="1"/>
  <c r="M28" i="1"/>
  <c r="G28" i="1" s="1"/>
  <c r="I28" i="1" s="1"/>
  <c r="J28" i="1" s="1"/>
  <c r="K28" i="1" s="1"/>
  <c r="T27" i="1"/>
  <c r="M27" i="1"/>
  <c r="G27" i="1"/>
  <c r="I27" i="1" s="1"/>
  <c r="J27" i="1" s="1"/>
  <c r="K27" i="1" s="1"/>
  <c r="T26" i="1"/>
  <c r="N26" i="1"/>
  <c r="M26" i="1"/>
  <c r="G26" i="1"/>
  <c r="T25" i="1"/>
  <c r="P25" i="1"/>
  <c r="N25" i="1"/>
  <c r="M25" i="1"/>
  <c r="G25" i="1" s="1"/>
  <c r="T24" i="1"/>
  <c r="M24" i="1"/>
  <c r="G24" i="1" s="1"/>
  <c r="H24" i="1" s="1"/>
  <c r="F24" i="1"/>
  <c r="H26" i="1" l="1"/>
  <c r="I25" i="1"/>
  <c r="J25" i="1" s="1"/>
  <c r="K25" i="1" s="1"/>
  <c r="H25" i="1"/>
  <c r="I24" i="1"/>
  <c r="J24" i="1" s="1"/>
  <c r="K24" i="1" s="1"/>
  <c r="I26" i="1"/>
  <c r="J26" i="1" s="1"/>
  <c r="K26" i="1" s="1"/>
  <c r="T10" i="1"/>
  <c r="T11" i="1"/>
  <c r="T12" i="1"/>
  <c r="T13" i="1"/>
  <c r="T14" i="1"/>
  <c r="T15" i="1"/>
  <c r="T16" i="1"/>
  <c r="T9" i="1"/>
  <c r="P10" i="1"/>
  <c r="N11" i="1"/>
  <c r="N10" i="1"/>
  <c r="M16" i="1"/>
  <c r="G16" i="1" s="1"/>
  <c r="I16" i="1" s="1"/>
  <c r="J16" i="1" s="1"/>
  <c r="K16" i="1" s="1"/>
  <c r="M15" i="1"/>
  <c r="G15" i="1" s="1"/>
  <c r="I15" i="1" s="1"/>
  <c r="J15" i="1" s="1"/>
  <c r="K15" i="1" s="1"/>
  <c r="M13" i="1"/>
  <c r="G13" i="1" s="1"/>
  <c r="I13" i="1" s="1"/>
  <c r="J13" i="1" s="1"/>
  <c r="K13" i="1" s="1"/>
  <c r="M14" i="1"/>
  <c r="M12" i="1"/>
  <c r="G12" i="1" s="1"/>
  <c r="I12" i="1" s="1"/>
  <c r="J12" i="1" s="1"/>
  <c r="K12" i="1" s="1"/>
  <c r="M10" i="1"/>
  <c r="M11" i="1"/>
  <c r="M9" i="1"/>
  <c r="G9" i="1" s="1"/>
  <c r="G11" i="1"/>
  <c r="G10" i="1"/>
  <c r="G14" i="1"/>
  <c r="I14" i="1" s="1"/>
  <c r="J14" i="1" s="1"/>
  <c r="K14" i="1" s="1"/>
  <c r="F9" i="1"/>
  <c r="I10" i="1" l="1"/>
  <c r="J10" i="1" s="1"/>
  <c r="K10" i="1" s="1"/>
  <c r="H11" i="1"/>
  <c r="I11" i="1"/>
  <c r="J11" i="1" s="1"/>
  <c r="K11" i="1" s="1"/>
  <c r="H10" i="1"/>
  <c r="H9" i="1"/>
  <c r="I9" i="1"/>
  <c r="J9" i="1" s="1"/>
  <c r="K9" i="1" s="1"/>
</calcChain>
</file>

<file path=xl/sharedStrings.xml><?xml version="1.0" encoding="utf-8"?>
<sst xmlns="http://schemas.openxmlformats.org/spreadsheetml/2006/main" count="48" uniqueCount="15">
  <si>
    <t>,</t>
  </si>
  <si>
    <t>Измеренное значение</t>
  </si>
  <si>
    <t>№</t>
  </si>
  <si>
    <t>нЗв/ч</t>
  </si>
  <si>
    <t xml:space="preserve"> R, см</t>
  </si>
  <si>
    <t>,нЗв/ч</t>
  </si>
  <si>
    <t>, %</t>
  </si>
  <si>
    <t>фон</t>
  </si>
  <si>
    <t>0НА</t>
  </si>
  <si>
    <t>299.003</t>
  </si>
  <si>
    <t>9XK</t>
  </si>
  <si>
    <t>043</t>
  </si>
  <si>
    <t>163</t>
  </si>
  <si>
    <t>='\\Newserv4\производство\Участок РИиР\База сертификатов и поверок\Protokols\СРК-АТ2327\[Расчет протоколов поверки БДКГ-02.xls]Калибровочные значения'!#ССЫЛКА!</t>
  </si>
  <si>
    <t>331.103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</si>
</sst>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#,##0_р_."/>
  </numFmts>
  <fonts count="16" x14ac:knownFonts="1">
    <font>
      <sz val="8"/>
      <color theme="1"/>
      <name val="Arial"/>
      <family val="2"/>
      <charset val="204"/>
    </font>
    <font>
      <sz val="10"/>
      <name val="Arial"/>
      <family val="2"/>
      <charset val="204"/>
    </font>
    <font>
      <b/>
      <sz val="10"/>
      <color indexed="8"/>
      <name val="Arial"/>
      <family val="2"/>
      <charset val="204"/>
    </font>
    <font>
      <sz val="10"/>
      <color indexed="9"/>
      <name val="Arial"/>
      <family val="2"/>
      <charset val="204"/>
    </font>
    <font>
      <sz val="10"/>
      <color indexed="16"/>
      <name val="Arial"/>
      <family val="2"/>
      <charset val="204"/>
    </font>
    <font>
      <b/>
      <sz val="10"/>
      <color indexed="9"/>
      <name val="Arial"/>
      <family val="2"/>
      <charset val="204"/>
    </font>
    <font>
      <i/>
      <sz val="10"/>
      <color indexed="23"/>
      <name val="Arial"/>
      <family val="2"/>
      <charset val="204"/>
    </font>
    <font>
      <sz val="10"/>
      <color indexed="58"/>
      <name val="Arial"/>
      <family val="2"/>
      <charset val="204"/>
    </font>
    <font>
      <sz val="18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24"/>
      <color indexed="8"/>
      <name val="Arial"/>
      <family val="2"/>
      <charset val="204"/>
    </font>
    <font>
      <sz val="10"/>
      <color indexed="19"/>
      <name val="Arial"/>
      <family val="2"/>
      <charset val="204"/>
    </font>
    <font>
      <sz val="10"/>
      <color indexed="63"/>
      <name val="Arial"/>
      <family val="2"/>
      <charset val="204"/>
    </font>
    <font>
      <sz val="10"/>
      <name val="Times New Roman"/>
      <family val="1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18"/>
      </patternFill>
    </fill>
    <fill>
      <patternFill patternType="solid">
        <fgColor indexed="23"/>
        <bgColor indexed="55"/>
      </patternFill>
    </fill>
    <fill>
      <patternFill patternType="solid">
        <fgColor indexed="31"/>
        <bgColor indexed="47"/>
      </patternFill>
    </fill>
    <fill>
      <patternFill patternType="solid">
        <fgColor indexed="47"/>
        <bgColor indexed="31"/>
      </patternFill>
    </fill>
    <fill>
      <patternFill patternType="solid">
        <fgColor indexed="16"/>
        <bgColor indexed="10"/>
      </patternFill>
    </fill>
    <fill>
      <patternFill patternType="solid">
        <fgColor indexed="42"/>
        <bgColor indexed="41"/>
      </patternFill>
    </fill>
    <fill>
      <patternFill patternType="solid">
        <fgColor indexed="26"/>
        <bgColor indexed="9"/>
      </patternFill>
    </fill>
    <fill>
      <patternFill patternType="solid">
        <fgColor indexed="13"/>
        <bgColor indexed="34"/>
      </patternFill>
    </fill>
    <fill>
      <patternFill patternType="solid">
        <fgColor indexed="27"/>
        <bgColor indexed="42"/>
      </patternFill>
    </fill>
    <fill>
      <patternFill patternType="solid">
        <fgColor indexed="50"/>
        <bgColor indexed="27"/>
      </patternFill>
    </fill>
    <fill>
      <patternFill patternType="solid">
        <fgColor indexed="10"/>
        <bgColor indexed="16"/>
      </patternFill>
    </fill>
    <fill>
      <patternFill patternType="solid">
        <fgColor indexed="11"/>
        <bgColor indexed="50"/>
      </patternFill>
    </fill>
  </fills>
  <borders count="1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double">
        <color indexed="8"/>
      </right>
      <top/>
      <bottom/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18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2" fillId="4" borderId="0" applyNumberFormat="0" applyBorder="0" applyAlignment="0" applyProtection="0"/>
    <xf numFmtId="0" fontId="4" fillId="5" borderId="0" applyNumberFormat="0" applyBorder="0" applyAlignment="0" applyProtection="0"/>
    <xf numFmtId="0" fontId="5" fillId="6" borderId="0" applyNumberFormat="0" applyBorder="0" applyAlignment="0" applyProtection="0"/>
    <xf numFmtId="0" fontId="6" fillId="0" borderId="0" applyNumberFormat="0" applyFill="0" applyBorder="0" applyAlignment="0" applyProtection="0"/>
    <xf numFmtId="0" fontId="7" fillId="7" borderId="0" applyNumberFormat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8" borderId="0" applyNumberFormat="0" applyBorder="0" applyAlignment="0" applyProtection="0"/>
    <xf numFmtId="0" fontId="12" fillId="8" borderId="1" applyNumberFormat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58"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16" xfId="0" applyBorder="1"/>
    <xf numFmtId="0" fontId="13" fillId="0" borderId="3" xfId="0" applyFont="1" applyBorder="1" applyAlignment="1">
      <alignment horizontal="center" wrapText="1"/>
    </xf>
    <xf numFmtId="0" fontId="13" fillId="0" borderId="8" xfId="0" applyFont="1" applyBorder="1" applyAlignment="1">
      <alignment horizontal="center" vertical="top" wrapText="1"/>
    </xf>
    <xf numFmtId="0" fontId="13" fillId="0" borderId="8" xfId="0" applyFont="1" applyBorder="1" applyAlignment="1">
      <alignment horizontal="center" wrapText="1"/>
    </xf>
    <xf numFmtId="0" fontId="13" fillId="0" borderId="6" xfId="0" applyFont="1" applyBorder="1" applyAlignment="1">
      <alignment horizontal="left" vertical="top"/>
    </xf>
    <xf numFmtId="0" fontId="0" fillId="0" borderId="7" xfId="0" applyBorder="1" applyAlignment="1">
      <alignment horizontal="center" vertical="top" wrapText="1"/>
    </xf>
    <xf numFmtId="0" fontId="0" fillId="0" borderId="8" xfId="0" applyBorder="1"/>
    <xf numFmtId="0" fontId="0" fillId="0" borderId="3" xfId="0" applyBorder="1"/>
    <xf numFmtId="11" fontId="0" fillId="0" borderId="0" xfId="0" applyNumberFormat="1" applyFill="1"/>
    <xf numFmtId="0" fontId="0" fillId="0" borderId="0" xfId="0" applyFill="1"/>
    <xf numFmtId="0" fontId="13" fillId="0" borderId="4" xfId="0" applyFont="1" applyBorder="1" applyAlignment="1">
      <alignment horizontal="center" wrapText="1"/>
    </xf>
    <xf numFmtId="0" fontId="0" fillId="0" borderId="5" xfId="0" applyBorder="1"/>
    <xf numFmtId="0" fontId="0" fillId="0" borderId="4" xfId="0" applyBorder="1" applyAlignment="1">
      <alignment wrapText="1"/>
    </xf>
    <xf numFmtId="0" fontId="13" fillId="0" borderId="5" xfId="0" applyFont="1" applyBorder="1" applyAlignment="1">
      <alignment horizontal="center" wrapText="1"/>
    </xf>
    <xf numFmtId="0" fontId="13" fillId="0" borderId="4" xfId="0" applyFont="1" applyBorder="1" applyAlignment="1">
      <alignment horizontal="center" vertical="top" wrapText="1"/>
    </xf>
    <xf numFmtId="0" fontId="0" fillId="0" borderId="5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14" xfId="0" applyBorder="1"/>
    <xf numFmtId="0" fontId="0" fillId="0" borderId="17" xfId="0" applyBorder="1"/>
    <xf numFmtId="0" fontId="13" fillId="0" borderId="9" xfId="0" applyFont="1" applyBorder="1" applyAlignment="1">
      <alignment horizontal="center" wrapText="1"/>
    </xf>
    <xf numFmtId="0" fontId="13" fillId="0" borderId="11" xfId="0" applyFont="1" applyBorder="1" applyAlignment="1">
      <alignment horizontal="center" vertical="top" wrapText="1"/>
    </xf>
    <xf numFmtId="0" fontId="13" fillId="0" borderId="10" xfId="0" applyFont="1" applyBorder="1" applyAlignment="1">
      <alignment horizontal="center" wrapText="1"/>
    </xf>
    <xf numFmtId="0" fontId="13" fillId="0" borderId="11" xfId="0" applyFont="1" applyBorder="1" applyAlignment="1">
      <alignment horizontal="center" wrapText="1"/>
    </xf>
    <xf numFmtId="0" fontId="13" fillId="0" borderId="10" xfId="0" applyFont="1" applyBorder="1" applyAlignment="1">
      <alignment horizontal="center" vertical="top" wrapText="1"/>
    </xf>
    <xf numFmtId="9" fontId="13" fillId="0" borderId="10" xfId="0" applyNumberFormat="1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49" fontId="14" fillId="0" borderId="0" xfId="0" applyNumberFormat="1" applyFont="1" applyAlignment="1">
      <alignment horizontal="right"/>
    </xf>
    <xf numFmtId="0" fontId="0" fillId="0" borderId="11" xfId="0" applyFont="1" applyBorder="1" applyAlignment="1">
      <alignment horizontal="center" wrapText="1"/>
    </xf>
    <xf numFmtId="11" fontId="0" fillId="0" borderId="10" xfId="0" applyNumberFormat="1" applyFont="1" applyBorder="1" applyAlignment="1">
      <alignment horizontal="center" wrapText="1"/>
    </xf>
    <xf numFmtId="0" fontId="0" fillId="0" borderId="10" xfId="0" applyFont="1" applyBorder="1" applyAlignment="1">
      <alignment horizontal="center" vertical="top" wrapText="1"/>
    </xf>
    <xf numFmtId="164" fontId="0" fillId="0" borderId="10" xfId="0" applyNumberFormat="1" applyFont="1" applyBorder="1" applyAlignment="1">
      <alignment horizontal="center" vertical="top" wrapText="1"/>
    </xf>
    <xf numFmtId="164" fontId="0" fillId="0" borderId="10" xfId="0" applyNumberFormat="1" applyFont="1" applyBorder="1" applyAlignment="1">
      <alignment horizontal="center" wrapText="1"/>
    </xf>
    <xf numFmtId="0" fontId="0" fillId="0" borderId="10" xfId="0" applyFont="1" applyBorder="1" applyAlignment="1">
      <alignment horizontal="center" wrapText="1"/>
    </xf>
    <xf numFmtId="0" fontId="0" fillId="0" borderId="12" xfId="0" applyBorder="1"/>
    <xf numFmtId="0" fontId="0" fillId="10" borderId="0" xfId="0" applyFill="1"/>
    <xf numFmtId="11" fontId="0" fillId="13" borderId="13" xfId="0" applyNumberFormat="1" applyFill="1" applyBorder="1"/>
    <xf numFmtId="0" fontId="0" fillId="9" borderId="3" xfId="0" applyFill="1" applyBorder="1" applyAlignment="1">
      <alignment horizontal="center"/>
    </xf>
    <xf numFmtId="0" fontId="14" fillId="0" borderId="0" xfId="0" applyFont="1"/>
    <xf numFmtId="0" fontId="0" fillId="7" borderId="0" xfId="0" applyFill="1"/>
    <xf numFmtId="0" fontId="0" fillId="11" borderId="0" xfId="0" applyNumberFormat="1" applyFill="1"/>
    <xf numFmtId="165" fontId="0" fillId="0" borderId="0" xfId="0" applyNumberFormat="1"/>
    <xf numFmtId="164" fontId="14" fillId="0" borderId="0" xfId="0" applyNumberFormat="1" applyFont="1"/>
    <xf numFmtId="11" fontId="0" fillId="12" borderId="0" xfId="0" applyNumberFormat="1" applyFill="1" applyBorder="1"/>
    <xf numFmtId="0" fontId="0" fillId="9" borderId="4" xfId="0" applyFill="1" applyBorder="1" applyAlignment="1">
      <alignment horizontal="center"/>
    </xf>
    <xf numFmtId="49" fontId="15" fillId="0" borderId="0" xfId="0" applyNumberFormat="1" applyFont="1" applyAlignment="1">
      <alignment horizontal="center"/>
    </xf>
    <xf numFmtId="49" fontId="0" fillId="0" borderId="10" xfId="0" applyNumberFormat="1" applyFont="1" applyBorder="1" applyAlignment="1">
      <alignment horizontal="center" vertical="top" wrapText="1"/>
    </xf>
    <xf numFmtId="0" fontId="0" fillId="12" borderId="0" xfId="0" applyFill="1" applyBorder="1"/>
    <xf numFmtId="1" fontId="0" fillId="0" borderId="0" xfId="0" applyNumberFormat="1"/>
    <xf numFmtId="0" fontId="14" fillId="0" borderId="2" xfId="0" applyFont="1" applyBorder="1"/>
    <xf numFmtId="0" fontId="0" fillId="0" borderId="15" xfId="0" applyBorder="1"/>
    <xf numFmtId="0" fontId="0" fillId="12" borderId="2" xfId="0" applyFill="1" applyBorder="1"/>
    <xf numFmtId="0" fontId="0" fillId="9" borderId="10" xfId="0" applyFill="1" applyBorder="1" applyAlignment="1">
      <alignment horizontal="center"/>
    </xf>
    <xf numFmtId="11" fontId="0" fillId="0" borderId="18" xfId="0" applyNumberFormat="1" applyFont="1" applyBorder="1" applyAlignment="1">
      <alignment horizontal="center" vertical="center" wrapText="1"/>
    </xf>
  </cellXfs>
  <cellStyles count="18">
    <cellStyle name="Accent" xfId="2"/>
    <cellStyle name="Accent 1" xfId="3"/>
    <cellStyle name="Accent 2" xfId="4"/>
    <cellStyle name="Accent 3" xfId="5"/>
    <cellStyle name="Bad 2" xfId="6"/>
    <cellStyle name="Error" xfId="7"/>
    <cellStyle name="Footnote" xfId="8"/>
    <cellStyle name="Good 2" xfId="9"/>
    <cellStyle name="Heading 1 2" xfId="10"/>
    <cellStyle name="Heading 2 2" xfId="11"/>
    <cellStyle name="Heading 3 2" xfId="12"/>
    <cellStyle name="Neutral 2" xfId="13"/>
    <cellStyle name="Normal 2" xfId="1"/>
    <cellStyle name="Note 2" xfId="14"/>
    <cellStyle name="Status" xfId="15"/>
    <cellStyle name="Text" xfId="16"/>
    <cellStyle name="Warning" xfId="17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6;&#1072;&#1089;&#1095;&#1077;&#1090;%20&#1087;&#1088;&#1086;&#1090;&#1086;&#1082;&#1086;&#1083;&#1086;&#1074;%20&#1087;&#1086;&#1074;&#1077;&#1088;&#1082;&#1080;%20&#1041;&#1044;&#1050;&#1043;-0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Калибровочные значения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AE291"/>
  <sheetViews>
    <sheetView tabSelected="1" zoomScale="90" zoomScaleNormal="90" workbookViewId="0">
      <selection activeCell="B33" sqref="B33"/>
    </sheetView>
  </sheetViews>
  <sheetFormatPr defaultRowHeight="11.25" x14ac:dyDescent="0.2"/>
  <cols>
    <col min="3" max="3" width="11.83203125" customWidth="1"/>
    <col min="6" max="6" width="11.5" customWidth="1"/>
    <col min="7" max="7" width="11.33203125" customWidth="1"/>
    <col min="8" max="8" width="11.83203125" customWidth="1"/>
    <col min="11" max="11" width="11.83203125" customWidth="1"/>
    <col min="13" max="13" width="13.6640625" customWidth="1"/>
    <col min="14" max="14" width="11.5" customWidth="1"/>
    <col min="16" max="16" width="12.5" bestFit="1" customWidth="1"/>
    <col min="19" max="19" width="14.5" customWidth="1"/>
    <col min="20" max="20" width="17.5" customWidth="1"/>
  </cols>
  <sheetData>
    <row r="3" spans="1:25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2" thickBo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2"/>
      <c r="V4" s="1"/>
      <c r="W4" s="1"/>
      <c r="X4" s="1"/>
      <c r="Y4" s="1"/>
    </row>
    <row r="5" spans="1:25" ht="13.5" thickBot="1" x14ac:dyDescent="0.25">
      <c r="A5" s="5"/>
      <c r="B5" s="6"/>
      <c r="C5" s="7" t="s">
        <v>0</v>
      </c>
      <c r="D5" s="6"/>
      <c r="E5" s="8"/>
      <c r="F5" s="9" t="s">
        <v>1</v>
      </c>
      <c r="G5" s="10"/>
      <c r="H5" s="8"/>
      <c r="I5" s="11"/>
      <c r="J5" s="12"/>
      <c r="K5" s="12"/>
      <c r="L5" s="4"/>
      <c r="M5" s="13"/>
      <c r="N5" s="4"/>
      <c r="O5" s="14"/>
      <c r="P5" s="4"/>
      <c r="Q5" s="4"/>
      <c r="R5" s="4"/>
      <c r="S5" s="4"/>
      <c r="T5" s="4"/>
      <c r="U5" s="2"/>
      <c r="V5" s="1"/>
      <c r="W5" s="1"/>
      <c r="X5" s="1"/>
      <c r="Y5" s="1"/>
    </row>
    <row r="6" spans="1:25" ht="12.75" x14ac:dyDescent="0.2">
      <c r="A6" s="5"/>
      <c r="B6" s="15"/>
      <c r="C6" s="16"/>
      <c r="D6" s="17"/>
      <c r="E6" s="18"/>
      <c r="F6" s="19"/>
      <c r="G6" s="19"/>
      <c r="H6" s="18"/>
      <c r="I6" s="20"/>
      <c r="J6" s="21"/>
      <c r="K6" s="21"/>
      <c r="L6" s="22"/>
      <c r="M6" s="13"/>
      <c r="N6" s="4"/>
      <c r="O6" s="4"/>
      <c r="P6" s="4"/>
      <c r="Q6" s="4"/>
      <c r="R6" s="4"/>
      <c r="S6" s="4"/>
      <c r="T6" s="4"/>
      <c r="U6" s="2"/>
      <c r="V6" s="1"/>
      <c r="W6" s="1"/>
      <c r="X6" s="1"/>
      <c r="Y6" s="1"/>
    </row>
    <row r="7" spans="1:25" ht="12.75" x14ac:dyDescent="0.2">
      <c r="A7" s="5"/>
      <c r="B7" s="15"/>
      <c r="C7" s="20"/>
      <c r="D7" s="16"/>
      <c r="E7" s="18"/>
      <c r="F7" s="19" t="s">
        <v>0</v>
      </c>
      <c r="G7" s="19" t="s">
        <v>0</v>
      </c>
      <c r="H7" s="18"/>
      <c r="I7" s="21"/>
      <c r="J7" s="21"/>
      <c r="K7" s="21"/>
      <c r="L7" s="22"/>
      <c r="M7" s="13"/>
      <c r="N7" s="4"/>
      <c r="O7" s="4"/>
      <c r="P7" s="4"/>
      <c r="Q7" s="4"/>
      <c r="R7" s="4"/>
      <c r="S7" s="4"/>
      <c r="T7" s="4"/>
      <c r="U7" s="2"/>
      <c r="V7" s="1"/>
      <c r="W7" s="1"/>
      <c r="X7" s="1"/>
      <c r="Y7" s="1"/>
    </row>
    <row r="8" spans="1:25" ht="13.5" thickBot="1" x14ac:dyDescent="0.25">
      <c r="A8" s="23"/>
      <c r="B8" s="24" t="s">
        <v>2</v>
      </c>
      <c r="C8" s="25" t="s">
        <v>3</v>
      </c>
      <c r="D8" s="26" t="s">
        <v>2</v>
      </c>
      <c r="E8" s="27" t="s">
        <v>4</v>
      </c>
      <c r="F8" s="28" t="s">
        <v>3</v>
      </c>
      <c r="G8" s="28" t="s">
        <v>3</v>
      </c>
      <c r="H8" s="27" t="s">
        <v>5</v>
      </c>
      <c r="I8" s="28" t="s">
        <v>6</v>
      </c>
      <c r="J8" s="28" t="s">
        <v>6</v>
      </c>
      <c r="K8" s="29">
        <v>0.15</v>
      </c>
      <c r="L8" s="4"/>
      <c r="M8" s="13"/>
      <c r="N8" s="30" t="s">
        <v>7</v>
      </c>
      <c r="O8" s="4"/>
      <c r="P8" s="4"/>
      <c r="Q8" s="4"/>
      <c r="R8" s="4"/>
      <c r="S8" s="4"/>
      <c r="T8" s="4"/>
      <c r="U8" s="2"/>
      <c r="V8" s="1"/>
      <c r="W8" s="1"/>
      <c r="X8" s="1"/>
      <c r="Y8" s="1"/>
    </row>
    <row r="9" spans="1:25" ht="14.25" thickTop="1" thickBot="1" x14ac:dyDescent="0.25">
      <c r="A9" s="31"/>
      <c r="B9" s="32">
        <v>1</v>
      </c>
      <c r="C9" s="33">
        <v>700</v>
      </c>
      <c r="D9" s="34" t="s">
        <v>8</v>
      </c>
      <c r="E9" s="35">
        <v>241.9</v>
      </c>
      <c r="F9" s="57">
        <f>N9</f>
        <v>104</v>
      </c>
      <c r="G9" s="33">
        <f>M9</f>
        <v>800</v>
      </c>
      <c r="H9" s="33">
        <f>G9-N9</f>
        <v>696</v>
      </c>
      <c r="I9" s="36">
        <f>((G9-N9)-C9)/C9*100</f>
        <v>-0.5714285714285714</v>
      </c>
      <c r="J9" s="36">
        <f>1.1+SQRT(O9^2+I9^2)</f>
        <v>6.1325471296595815</v>
      </c>
      <c r="K9" s="37" t="e">
        <f>TEXT(J9,"0.0")&amp;"&lt;15"</f>
        <v>#VALUE!</v>
      </c>
      <c r="L9" s="38"/>
      <c r="M9" s="39">
        <f>R9*10^3+100</f>
        <v>800</v>
      </c>
      <c r="N9" s="40">
        <v>104</v>
      </c>
      <c r="O9" s="41">
        <v>5</v>
      </c>
      <c r="P9" s="42">
        <v>0</v>
      </c>
      <c r="Q9" s="43">
        <v>0.82040000000000002</v>
      </c>
      <c r="R9" s="44">
        <v>0.7</v>
      </c>
      <c r="S9" s="4">
        <v>1000</v>
      </c>
      <c r="T9" s="45">
        <f>Q9*S9</f>
        <v>820.4</v>
      </c>
      <c r="U9" s="2"/>
      <c r="V9" s="1"/>
      <c r="W9" s="1"/>
      <c r="X9" s="1"/>
      <c r="Y9" s="1"/>
    </row>
    <row r="10" spans="1:25" ht="13.5" thickBot="1" x14ac:dyDescent="0.25">
      <c r="A10" s="46" t="s">
        <v>9</v>
      </c>
      <c r="B10" s="32">
        <v>2</v>
      </c>
      <c r="C10" s="33">
        <v>7000</v>
      </c>
      <c r="D10" s="34" t="s">
        <v>8</v>
      </c>
      <c r="E10" s="35">
        <v>77.400000000000006</v>
      </c>
      <c r="F10" s="57"/>
      <c r="G10" s="33">
        <f t="shared" ref="G10:G16" si="0">M10</f>
        <v>7200</v>
      </c>
      <c r="H10" s="33">
        <f t="shared" ref="H10:H11" si="1">G10-N10</f>
        <v>7096</v>
      </c>
      <c r="I10" s="36">
        <f t="shared" ref="I10:I16" si="2">((G10-N10)-C10)/C10*100</f>
        <v>1.3714285714285714</v>
      </c>
      <c r="J10" s="36">
        <f t="shared" ref="J10:J16" si="3">1.1+SQRT(O10^2+I10^2)</f>
        <v>6.2846712843275423</v>
      </c>
      <c r="K10" s="37" t="e">
        <f t="shared" ref="K10:K16" si="4">TEXT(J10,"0.0")&amp;"&lt;15"</f>
        <v>#VALUE!</v>
      </c>
      <c r="L10" s="22"/>
      <c r="M10" s="39">
        <f t="shared" ref="M10:M11" si="5">R10*10^3+100</f>
        <v>7200</v>
      </c>
      <c r="N10" s="47">
        <f>N9</f>
        <v>104</v>
      </c>
      <c r="O10" s="48">
        <v>5</v>
      </c>
      <c r="P10" s="42" t="e">
        <f>'[1]Калибровочные значения'!#REF!</f>
        <v>#REF!</v>
      </c>
      <c r="Q10" s="43">
        <v>6.9059999999999997</v>
      </c>
      <c r="R10" s="44">
        <v>7.1</v>
      </c>
      <c r="S10" s="4">
        <v>1000</v>
      </c>
      <c r="T10" s="45">
        <f t="shared" ref="T10:T16" si="6">Q10*S10</f>
        <v>6906</v>
      </c>
      <c r="U10" s="2"/>
      <c r="V10" s="1"/>
      <c r="W10" s="1"/>
      <c r="X10" s="1"/>
      <c r="Y10" s="1"/>
    </row>
    <row r="11" spans="1:25" ht="13.5" thickBot="1" x14ac:dyDescent="0.25">
      <c r="A11" s="42"/>
      <c r="B11" s="32">
        <v>3</v>
      </c>
      <c r="C11" s="33">
        <v>70000</v>
      </c>
      <c r="D11" s="34" t="s">
        <v>10</v>
      </c>
      <c r="E11" s="35">
        <v>167.3</v>
      </c>
      <c r="F11" s="57"/>
      <c r="G11" s="33">
        <f t="shared" si="0"/>
        <v>70100</v>
      </c>
      <c r="H11" s="33">
        <f t="shared" si="1"/>
        <v>69996</v>
      </c>
      <c r="I11" s="36">
        <f t="shared" si="2"/>
        <v>-5.7142857142857143E-3</v>
      </c>
      <c r="J11" s="36">
        <f t="shared" si="3"/>
        <v>5.100004081630571</v>
      </c>
      <c r="K11" s="37" t="e">
        <f t="shared" si="4"/>
        <v>#VALUE!</v>
      </c>
      <c r="L11" s="22"/>
      <c r="M11" s="39">
        <f t="shared" si="5"/>
        <v>70100</v>
      </c>
      <c r="N11" s="47">
        <f>N9</f>
        <v>104</v>
      </c>
      <c r="O11" s="48">
        <v>4</v>
      </c>
      <c r="P11" s="49" t="s">
        <v>13</v>
      </c>
      <c r="Q11" s="43">
        <v>70.12</v>
      </c>
      <c r="R11" s="44">
        <v>70</v>
      </c>
      <c r="S11" s="4">
        <v>1000</v>
      </c>
      <c r="T11" s="45">
        <f t="shared" si="6"/>
        <v>70120</v>
      </c>
      <c r="U11" s="2"/>
      <c r="V11" s="1"/>
      <c r="W11" s="1"/>
      <c r="X11" s="1"/>
      <c r="Y11" s="1"/>
    </row>
    <row r="12" spans="1:25" ht="13.5" thickBot="1" x14ac:dyDescent="0.25">
      <c r="A12" s="42"/>
      <c r="B12" s="32">
        <v>4</v>
      </c>
      <c r="C12" s="33">
        <v>700000</v>
      </c>
      <c r="D12" s="50" t="s">
        <v>10</v>
      </c>
      <c r="E12" s="35">
        <v>53.7</v>
      </c>
      <c r="F12" s="37"/>
      <c r="G12" s="33">
        <f t="shared" si="0"/>
        <v>690000</v>
      </c>
      <c r="H12" s="37"/>
      <c r="I12" s="36">
        <f t="shared" si="2"/>
        <v>-1.4285714285714286</v>
      </c>
      <c r="J12" s="36">
        <f t="shared" si="3"/>
        <v>5.3474482135195736</v>
      </c>
      <c r="K12" s="37" t="e">
        <f t="shared" si="4"/>
        <v>#VALUE!</v>
      </c>
      <c r="L12" s="22"/>
      <c r="M12" s="39">
        <f>R12*10^6</f>
        <v>690000</v>
      </c>
      <c r="N12" s="51"/>
      <c r="O12" s="48">
        <v>4</v>
      </c>
      <c r="P12" s="42">
        <v>5</v>
      </c>
      <c r="Q12" s="43">
        <v>0.70920000000000005</v>
      </c>
      <c r="R12" s="44">
        <v>0.69</v>
      </c>
      <c r="S12" s="4">
        <v>1000000</v>
      </c>
      <c r="T12" s="45">
        <f t="shared" si="6"/>
        <v>709200</v>
      </c>
      <c r="U12" s="2"/>
      <c r="V12" s="1"/>
      <c r="W12" s="1"/>
      <c r="X12" s="1"/>
      <c r="Y12" s="1"/>
    </row>
    <row r="13" spans="1:25" ht="13.5" thickBot="1" x14ac:dyDescent="0.25">
      <c r="A13" s="42"/>
      <c r="B13" s="32">
        <v>5</v>
      </c>
      <c r="C13" s="33">
        <v>7000000</v>
      </c>
      <c r="D13" s="50" t="s">
        <v>11</v>
      </c>
      <c r="E13" s="35">
        <v>364.1</v>
      </c>
      <c r="F13" s="37"/>
      <c r="G13" s="33">
        <f t="shared" si="0"/>
        <v>6900000</v>
      </c>
      <c r="H13" s="37"/>
      <c r="I13" s="36">
        <f t="shared" si="2"/>
        <v>-1.4285714285714286</v>
      </c>
      <c r="J13" s="36">
        <f t="shared" si="3"/>
        <v>5.3474482135195736</v>
      </c>
      <c r="K13" s="37" t="e">
        <f t="shared" si="4"/>
        <v>#VALUE!</v>
      </c>
      <c r="L13" s="22"/>
      <c r="M13" s="39">
        <f t="shared" ref="M13:M14" si="7">R13*10^6</f>
        <v>6900000</v>
      </c>
      <c r="N13" s="51"/>
      <c r="O13" s="48">
        <v>4</v>
      </c>
      <c r="P13" s="42"/>
      <c r="Q13" s="43">
        <v>7.5069999999999997</v>
      </c>
      <c r="R13" s="44">
        <v>6.9</v>
      </c>
      <c r="S13" s="4">
        <v>1000000</v>
      </c>
      <c r="T13" s="45">
        <f t="shared" si="6"/>
        <v>7507000</v>
      </c>
      <c r="U13" s="2"/>
      <c r="V13" s="1"/>
      <c r="W13" s="1"/>
      <c r="X13" s="1"/>
      <c r="Y13" s="1"/>
    </row>
    <row r="14" spans="1:25" ht="13.5" thickBot="1" x14ac:dyDescent="0.25">
      <c r="A14" s="42"/>
      <c r="B14" s="32">
        <v>6</v>
      </c>
      <c r="C14" s="33">
        <v>70000000</v>
      </c>
      <c r="D14" s="50" t="s">
        <v>11</v>
      </c>
      <c r="E14" s="35">
        <v>116.7</v>
      </c>
      <c r="F14" s="37"/>
      <c r="G14" s="33">
        <f t="shared" si="0"/>
        <v>68000000</v>
      </c>
      <c r="H14" s="37"/>
      <c r="I14" s="36">
        <f t="shared" si="2"/>
        <v>-2.8571428571428572</v>
      </c>
      <c r="J14" s="36">
        <f t="shared" si="3"/>
        <v>6.015614438310072</v>
      </c>
      <c r="K14" s="37" t="e">
        <f t="shared" si="4"/>
        <v>#VALUE!</v>
      </c>
      <c r="L14" s="22"/>
      <c r="M14" s="39">
        <f t="shared" si="7"/>
        <v>68000000</v>
      </c>
      <c r="N14" s="51"/>
      <c r="O14" s="48">
        <v>4</v>
      </c>
      <c r="P14" s="42"/>
      <c r="Q14" s="43">
        <v>71.7</v>
      </c>
      <c r="R14" s="44">
        <v>68</v>
      </c>
      <c r="S14" s="4">
        <v>1000000</v>
      </c>
      <c r="T14" s="45">
        <f t="shared" si="6"/>
        <v>71700000</v>
      </c>
      <c r="U14" s="2"/>
      <c r="V14" s="1"/>
      <c r="W14" s="1"/>
      <c r="X14" s="1"/>
      <c r="Y14" s="1"/>
    </row>
    <row r="15" spans="1:25" ht="13.5" thickBot="1" x14ac:dyDescent="0.25">
      <c r="A15" s="42"/>
      <c r="B15" s="32">
        <v>7</v>
      </c>
      <c r="C15" s="33">
        <v>700000000</v>
      </c>
      <c r="D15" s="50" t="s">
        <v>12</v>
      </c>
      <c r="E15" s="35">
        <v>240.9</v>
      </c>
      <c r="F15" s="37"/>
      <c r="G15" s="33">
        <f t="shared" si="0"/>
        <v>700000000</v>
      </c>
      <c r="H15" s="37"/>
      <c r="I15" s="36">
        <f t="shared" si="2"/>
        <v>0</v>
      </c>
      <c r="J15" s="36">
        <f t="shared" si="3"/>
        <v>5.0999999999999996</v>
      </c>
      <c r="K15" s="37" t="e">
        <f t="shared" si="4"/>
        <v>#VALUE!</v>
      </c>
      <c r="L15" s="22"/>
      <c r="M15" s="39">
        <f>R15*10^9</f>
        <v>700000000</v>
      </c>
      <c r="N15" s="51"/>
      <c r="O15" s="48">
        <v>4</v>
      </c>
      <c r="P15" s="42"/>
      <c r="Q15" s="43">
        <v>0.70069999999999999</v>
      </c>
      <c r="R15" s="44">
        <v>0.7</v>
      </c>
      <c r="S15" s="52">
        <v>1000000000</v>
      </c>
      <c r="T15" s="45">
        <f t="shared" si="6"/>
        <v>700700000</v>
      </c>
      <c r="U15" s="2"/>
      <c r="V15" s="1"/>
      <c r="W15" s="1"/>
      <c r="X15" s="1"/>
      <c r="Y15" s="1"/>
    </row>
    <row r="16" spans="1:25" ht="13.5" thickBot="1" x14ac:dyDescent="0.25">
      <c r="A16" s="53"/>
      <c r="B16" s="32">
        <v>8</v>
      </c>
      <c r="C16" s="33">
        <v>7000000000</v>
      </c>
      <c r="D16" s="50" t="s">
        <v>12</v>
      </c>
      <c r="E16" s="35">
        <v>77.5</v>
      </c>
      <c r="F16" s="37"/>
      <c r="G16" s="33">
        <f t="shared" si="0"/>
        <v>7100000000</v>
      </c>
      <c r="H16" s="37"/>
      <c r="I16" s="36">
        <f t="shared" si="2"/>
        <v>1.4285714285714286</v>
      </c>
      <c r="J16" s="36">
        <f t="shared" si="3"/>
        <v>5.3474482135195736</v>
      </c>
      <c r="K16" s="37" t="e">
        <f t="shared" si="4"/>
        <v>#VALUE!</v>
      </c>
      <c r="L16" s="54"/>
      <c r="M16" s="39">
        <f>R16*10^9</f>
        <v>7100000000</v>
      </c>
      <c r="N16" s="55"/>
      <c r="O16" s="56">
        <v>4</v>
      </c>
      <c r="P16" s="53"/>
      <c r="Q16" s="43">
        <v>6.9909999999999997</v>
      </c>
      <c r="R16" s="44">
        <v>7.1</v>
      </c>
      <c r="S16" s="52">
        <v>1000000000</v>
      </c>
      <c r="T16" s="45">
        <f t="shared" si="6"/>
        <v>6991000000</v>
      </c>
      <c r="U16" s="2"/>
      <c r="V16" s="1"/>
      <c r="W16" s="1"/>
      <c r="X16" s="1"/>
      <c r="Y16" s="1"/>
    </row>
    <row r="17" spans="1:25" x14ac:dyDescent="0.2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2"/>
      <c r="V17" s="1"/>
      <c r="W17" s="1"/>
      <c r="X17" s="1"/>
      <c r="Y17" s="1"/>
    </row>
    <row r="18" spans="1:25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1"/>
      <c r="W18" s="1"/>
      <c r="X18" s="1"/>
      <c r="Y18" s="1"/>
    </row>
    <row r="19" spans="1:25" ht="12" thickBot="1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1"/>
      <c r="W19" s="1"/>
      <c r="X19" s="1"/>
      <c r="Y19" s="1"/>
    </row>
    <row r="20" spans="1:25" ht="13.5" thickBot="1" x14ac:dyDescent="0.25">
      <c r="A20" s="5"/>
      <c r="B20" s="6"/>
      <c r="C20" s="7" t="s">
        <v>0</v>
      </c>
      <c r="D20" s="6"/>
      <c r="E20" s="8"/>
      <c r="F20" s="9" t="s">
        <v>1</v>
      </c>
      <c r="G20" s="10"/>
      <c r="H20" s="8"/>
      <c r="I20" s="11"/>
      <c r="J20" s="12"/>
      <c r="K20" s="12"/>
      <c r="L20" s="4"/>
      <c r="M20" s="13"/>
      <c r="N20" s="4"/>
      <c r="O20" s="14"/>
      <c r="P20" s="4"/>
      <c r="Q20" s="4"/>
      <c r="R20" s="4"/>
      <c r="S20" s="4"/>
      <c r="T20" s="4"/>
      <c r="U20" s="4"/>
      <c r="V20" s="1"/>
      <c r="W20" s="1"/>
      <c r="X20" s="1"/>
      <c r="Y20" s="1"/>
    </row>
    <row r="21" spans="1:25" ht="12.75" x14ac:dyDescent="0.2">
      <c r="A21" s="5"/>
      <c r="B21" s="15"/>
      <c r="C21" s="16"/>
      <c r="D21" s="17"/>
      <c r="E21" s="18"/>
      <c r="F21" s="19"/>
      <c r="G21" s="19"/>
      <c r="H21" s="18"/>
      <c r="I21" s="20"/>
      <c r="J21" s="21"/>
      <c r="K21" s="21"/>
      <c r="L21" s="22"/>
      <c r="M21" s="13"/>
      <c r="N21" s="4"/>
      <c r="O21" s="4"/>
      <c r="P21" s="4"/>
      <c r="Q21" s="4"/>
      <c r="R21" s="4"/>
      <c r="S21" s="4"/>
      <c r="T21" s="4"/>
      <c r="U21" s="4"/>
    </row>
    <row r="22" spans="1:25" ht="12.75" x14ac:dyDescent="0.2">
      <c r="A22" s="5"/>
      <c r="B22" s="15"/>
      <c r="C22" s="20"/>
      <c r="D22" s="16"/>
      <c r="E22" s="18"/>
      <c r="F22" s="19" t="s">
        <v>0</v>
      </c>
      <c r="G22" s="19" t="s">
        <v>0</v>
      </c>
      <c r="H22" s="18"/>
      <c r="I22" s="21"/>
      <c r="J22" s="21"/>
      <c r="K22" s="21"/>
      <c r="L22" s="22"/>
      <c r="M22" s="13"/>
      <c r="N22" s="4"/>
      <c r="O22" s="4"/>
      <c r="P22" s="4"/>
      <c r="Q22" s="4"/>
      <c r="R22" s="4"/>
      <c r="S22" s="4"/>
      <c r="T22" s="4"/>
      <c r="U22" s="4"/>
    </row>
    <row r="23" spans="1:25" ht="13.5" thickBot="1" x14ac:dyDescent="0.25">
      <c r="A23" s="23"/>
      <c r="B23" s="24" t="s">
        <v>2</v>
      </c>
      <c r="C23" s="25" t="s">
        <v>3</v>
      </c>
      <c r="D23" s="26" t="s">
        <v>2</v>
      </c>
      <c r="E23" s="27" t="s">
        <v>4</v>
      </c>
      <c r="F23" s="28" t="s">
        <v>3</v>
      </c>
      <c r="G23" s="28" t="s">
        <v>3</v>
      </c>
      <c r="H23" s="27" t="s">
        <v>5</v>
      </c>
      <c r="I23" s="28" t="s">
        <v>6</v>
      </c>
      <c r="J23" s="28" t="s">
        <v>6</v>
      </c>
      <c r="K23" s="29">
        <v>0.15</v>
      </c>
      <c r="L23" s="4"/>
      <c r="M23" s="13"/>
      <c r="N23" s="30" t="s">
        <v>7</v>
      </c>
      <c r="O23" s="4"/>
      <c r="P23" s="4"/>
      <c r="Q23" s="4"/>
      <c r="R23" s="4"/>
      <c r="S23" s="4"/>
      <c r="T23" s="4"/>
      <c r="U23" s="4"/>
    </row>
    <row r="24" spans="1:25" ht="14.25" thickTop="1" thickBot="1" x14ac:dyDescent="0.25">
      <c r="A24" s="31"/>
      <c r="B24" s="32">
        <v>1</v>
      </c>
      <c r="C24" s="33">
        <v>700</v>
      </c>
      <c r="D24" s="34" t="s">
        <v>8</v>
      </c>
      <c r="E24" s="35">
        <v>241.9</v>
      </c>
      <c r="F24" s="57">
        <f>N24</f>
        <v>100</v>
      </c>
      <c r="G24" s="33">
        <f>M24</f>
        <v>800</v>
      </c>
      <c r="H24" s="33">
        <f>G24-N24</f>
        <v>700</v>
      </c>
      <c r="I24" s="36">
        <f>((G24-N24)-C24)/C24*100</f>
        <v>0</v>
      </c>
      <c r="J24" s="36">
        <f>1.1+SQRT(O24^2+I24^2)</f>
        <v>6.1</v>
      </c>
      <c r="K24" s="37" t="e">
        <f>TEXT(J24,"0.0")&amp;"&lt;15"</f>
        <v>#VALUE!</v>
      </c>
      <c r="L24" s="38"/>
      <c r="M24" s="39">
        <f>R24*10^3+100</f>
        <v>800</v>
      </c>
      <c r="N24" s="40">
        <v>100</v>
      </c>
      <c r="O24" s="41">
        <v>5</v>
      </c>
      <c r="P24" s="42">
        <v>0</v>
      </c>
      <c r="Q24" s="43">
        <v>0.82040000000000002</v>
      </c>
      <c r="R24" s="44">
        <v>0.7</v>
      </c>
      <c r="S24" s="4">
        <v>1000</v>
      </c>
      <c r="T24" s="45">
        <f>Q24*S24</f>
        <v>820.4</v>
      </c>
      <c r="U24" s="4"/>
    </row>
    <row r="25" spans="1:25" ht="13.5" thickBot="1" x14ac:dyDescent="0.25">
      <c r="A25" s="46" t="s">
        <v>14</v>
      </c>
      <c r="B25" s="32">
        <v>2</v>
      </c>
      <c r="C25" s="33">
        <v>7000</v>
      </c>
      <c r="D25" s="34" t="s">
        <v>8</v>
      </c>
      <c r="E25" s="35">
        <v>77.400000000000006</v>
      </c>
      <c r="F25" s="57"/>
      <c r="G25" s="33">
        <f t="shared" ref="G25:G31" si="8">M25</f>
        <v>7200</v>
      </c>
      <c r="H25" s="33">
        <f t="shared" ref="H25:H26" si="9">G25-N25</f>
        <v>7100</v>
      </c>
      <c r="I25" s="36">
        <f t="shared" ref="I25:I31" si="10">((G25-N25)-C25)/C25*100</f>
        <v>1.4285714285714286</v>
      </c>
      <c r="J25" s="36">
        <f t="shared" ref="J25:J31" si="11">1.1+SQRT(O25^2+I25^2)</f>
        <v>6.3000784923432267</v>
      </c>
      <c r="K25" s="37" t="e">
        <f t="shared" ref="K25:K31" si="12">TEXT(J25,"0.0")&amp;"&lt;15"</f>
        <v>#VALUE!</v>
      </c>
      <c r="L25" s="22"/>
      <c r="M25" s="39">
        <f t="shared" ref="M25:M26" si="13">R25*10^3+100</f>
        <v>7200</v>
      </c>
      <c r="N25" s="47">
        <f>N24</f>
        <v>100</v>
      </c>
      <c r="O25" s="48">
        <v>5</v>
      </c>
      <c r="P25" s="42" t="e">
        <f>'[1]Калибровочные значения'!#REF!</f>
        <v>#REF!</v>
      </c>
      <c r="Q25" s="43">
        <v>6.9059999999999997</v>
      </c>
      <c r="R25" s="44">
        <v>7.1</v>
      </c>
      <c r="S25" s="4">
        <v>1000</v>
      </c>
      <c r="T25" s="45">
        <f t="shared" ref="T25:T31" si="14">Q25*S25</f>
        <v>6906</v>
      </c>
      <c r="U25" s="4"/>
    </row>
    <row r="26" spans="1:25" ht="13.5" thickBot="1" x14ac:dyDescent="0.25">
      <c r="A26" s="42"/>
      <c r="B26" s="32">
        <v>3</v>
      </c>
      <c r="C26" s="33">
        <v>70000</v>
      </c>
      <c r="D26" s="34" t="s">
        <v>10</v>
      </c>
      <c r="E26" s="35">
        <v>167.3</v>
      </c>
      <c r="F26" s="57"/>
      <c r="G26" s="33">
        <f t="shared" si="8"/>
        <v>74100</v>
      </c>
      <c r="H26" s="33">
        <f t="shared" si="9"/>
        <v>74000</v>
      </c>
      <c r="I26" s="36">
        <f t="shared" si="10"/>
        <v>5.7142857142857144</v>
      </c>
      <c r="J26" s="36">
        <f t="shared" si="11"/>
        <v>8.0751746375621156</v>
      </c>
      <c r="K26" s="37" t="e">
        <f t="shared" si="12"/>
        <v>#VALUE!</v>
      </c>
      <c r="L26" s="22"/>
      <c r="M26" s="39">
        <f t="shared" si="13"/>
        <v>74100</v>
      </c>
      <c r="N26" s="47">
        <f>N24</f>
        <v>100</v>
      </c>
      <c r="O26" s="48">
        <v>4</v>
      </c>
      <c r="P26" s="49" t="s">
        <v>13</v>
      </c>
      <c r="Q26" s="43">
        <v>70.12</v>
      </c>
      <c r="R26" s="44">
        <v>74</v>
      </c>
      <c r="S26" s="4">
        <v>1000</v>
      </c>
      <c r="T26" s="45">
        <f t="shared" si="14"/>
        <v>70120</v>
      </c>
      <c r="U26" s="4"/>
    </row>
    <row r="27" spans="1:25" ht="13.5" thickBot="1" x14ac:dyDescent="0.25">
      <c r="A27" s="42"/>
      <c r="B27" s="32">
        <v>4</v>
      </c>
      <c r="C27" s="33">
        <v>700000</v>
      </c>
      <c r="D27" s="50" t="s">
        <v>10</v>
      </c>
      <c r="E27" s="35">
        <v>53.7</v>
      </c>
      <c r="F27" s="37"/>
      <c r="G27" s="33">
        <f t="shared" si="8"/>
        <v>710000</v>
      </c>
      <c r="H27" s="37"/>
      <c r="I27" s="36">
        <f t="shared" si="10"/>
        <v>1.4285714285714286</v>
      </c>
      <c r="J27" s="36">
        <f t="shared" si="11"/>
        <v>5.3474482135195736</v>
      </c>
      <c r="K27" s="37" t="e">
        <f t="shared" si="12"/>
        <v>#VALUE!</v>
      </c>
      <c r="L27" s="22"/>
      <c r="M27" s="39">
        <f>R27*10^6</f>
        <v>710000</v>
      </c>
      <c r="N27" s="51"/>
      <c r="O27" s="48">
        <v>4</v>
      </c>
      <c r="P27" s="42">
        <v>5</v>
      </c>
      <c r="Q27" s="43">
        <v>0.70920000000000005</v>
      </c>
      <c r="R27" s="44">
        <v>0.71</v>
      </c>
      <c r="S27" s="4">
        <v>1000000</v>
      </c>
      <c r="T27" s="45">
        <f t="shared" si="14"/>
        <v>709200</v>
      </c>
      <c r="U27" s="4"/>
    </row>
    <row r="28" spans="1:25" ht="13.5" thickBot="1" x14ac:dyDescent="0.25">
      <c r="A28" s="42"/>
      <c r="B28" s="32">
        <v>5</v>
      </c>
      <c r="C28" s="33">
        <v>7000000</v>
      </c>
      <c r="D28" s="50" t="s">
        <v>11</v>
      </c>
      <c r="E28" s="35">
        <v>364.1</v>
      </c>
      <c r="F28" s="37"/>
      <c r="G28" s="33">
        <f t="shared" si="8"/>
        <v>7000000</v>
      </c>
      <c r="H28" s="37"/>
      <c r="I28" s="36">
        <f t="shared" si="10"/>
        <v>0</v>
      </c>
      <c r="J28" s="36">
        <f t="shared" si="11"/>
        <v>5.0999999999999996</v>
      </c>
      <c r="K28" s="37" t="e">
        <f t="shared" si="12"/>
        <v>#VALUE!</v>
      </c>
      <c r="L28" s="22"/>
      <c r="M28" s="39">
        <f t="shared" ref="M28:M29" si="15">R28*10^6</f>
        <v>7000000</v>
      </c>
      <c r="N28" s="51"/>
      <c r="O28" s="48">
        <v>4</v>
      </c>
      <c r="P28" s="42"/>
      <c r="Q28" s="43">
        <v>7.5069999999999997</v>
      </c>
      <c r="R28" s="44">
        <v>7</v>
      </c>
      <c r="S28" s="4">
        <v>1000000</v>
      </c>
      <c r="T28" s="45">
        <f t="shared" si="14"/>
        <v>7507000</v>
      </c>
      <c r="U28" s="4"/>
    </row>
    <row r="29" spans="1:25" ht="13.5" thickBot="1" x14ac:dyDescent="0.25">
      <c r="A29" s="42"/>
      <c r="B29" s="32">
        <v>6</v>
      </c>
      <c r="C29" s="33">
        <v>70000000</v>
      </c>
      <c r="D29" s="50" t="s">
        <v>11</v>
      </c>
      <c r="E29" s="35">
        <v>116.7</v>
      </c>
      <c r="F29" s="37"/>
      <c r="G29" s="33">
        <f t="shared" si="8"/>
        <v>78000000</v>
      </c>
      <c r="H29" s="37"/>
      <c r="I29" s="36">
        <f t="shared" si="10"/>
        <v>11.428571428571429</v>
      </c>
      <c r="J29" s="36">
        <f t="shared" si="11"/>
        <v>13.208354343095481</v>
      </c>
      <c r="K29" s="37" t="e">
        <f t="shared" si="12"/>
        <v>#VALUE!</v>
      </c>
      <c r="L29" s="22"/>
      <c r="M29" s="39">
        <f t="shared" si="15"/>
        <v>78000000</v>
      </c>
      <c r="N29" s="51"/>
      <c r="O29" s="48">
        <v>4</v>
      </c>
      <c r="P29" s="42"/>
      <c r="Q29" s="43">
        <v>71.7</v>
      </c>
      <c r="R29" s="44">
        <v>78</v>
      </c>
      <c r="S29" s="4">
        <v>1000000</v>
      </c>
      <c r="T29" s="45">
        <f t="shared" si="14"/>
        <v>71700000</v>
      </c>
      <c r="U29" s="4"/>
    </row>
    <row r="30" spans="1:25" ht="13.5" thickBot="1" x14ac:dyDescent="0.25">
      <c r="A30" s="42"/>
      <c r="B30" s="32">
        <v>7</v>
      </c>
      <c r="C30" s="33">
        <v>700000000</v>
      </c>
      <c r="D30" s="50" t="s">
        <v>12</v>
      </c>
      <c r="E30" s="35">
        <v>240.9</v>
      </c>
      <c r="F30" s="37"/>
      <c r="G30" s="33">
        <f t="shared" si="8"/>
        <v>630000000</v>
      </c>
      <c r="H30" s="37"/>
      <c r="I30" s="36">
        <f t="shared" si="10"/>
        <v>-10</v>
      </c>
      <c r="J30" s="36">
        <f t="shared" si="11"/>
        <v>11.870329614269007</v>
      </c>
      <c r="K30" s="37" t="e">
        <f t="shared" si="12"/>
        <v>#VALUE!</v>
      </c>
      <c r="L30" s="22"/>
      <c r="M30" s="39">
        <f>R30*10^9</f>
        <v>630000000</v>
      </c>
      <c r="N30" s="51"/>
      <c r="O30" s="48">
        <v>4</v>
      </c>
      <c r="P30" s="42"/>
      <c r="Q30" s="43">
        <v>0.70069999999999999</v>
      </c>
      <c r="R30" s="44">
        <v>0.63</v>
      </c>
      <c r="S30" s="52">
        <v>1000000000</v>
      </c>
      <c r="T30" s="45">
        <f t="shared" si="14"/>
        <v>700700000</v>
      </c>
      <c r="U30" s="4"/>
    </row>
    <row r="31" spans="1:25" ht="13.5" thickBot="1" x14ac:dyDescent="0.25">
      <c r="A31" s="53"/>
      <c r="B31" s="32">
        <v>8</v>
      </c>
      <c r="C31" s="33">
        <v>7000000000</v>
      </c>
      <c r="D31" s="50" t="s">
        <v>12</v>
      </c>
      <c r="E31" s="35">
        <v>77.5</v>
      </c>
      <c r="F31" s="37"/>
      <c r="G31" s="33">
        <f t="shared" si="8"/>
        <v>7000000000</v>
      </c>
      <c r="H31" s="37"/>
      <c r="I31" s="36">
        <f t="shared" si="10"/>
        <v>0</v>
      </c>
      <c r="J31" s="36">
        <f t="shared" si="11"/>
        <v>5.0999999999999996</v>
      </c>
      <c r="K31" s="37" t="e">
        <f t="shared" si="12"/>
        <v>#VALUE!</v>
      </c>
      <c r="L31" s="54"/>
      <c r="M31" s="39">
        <f>R31*10^9</f>
        <v>7000000000</v>
      </c>
      <c r="N31" s="55"/>
      <c r="O31" s="56">
        <v>4</v>
      </c>
      <c r="P31" s="53"/>
      <c r="Q31" s="43">
        <v>6.9909999999999997</v>
      </c>
      <c r="R31" s="44">
        <v>7</v>
      </c>
      <c r="S31" s="52">
        <v>1000000000</v>
      </c>
      <c r="T31" s="45">
        <f t="shared" si="14"/>
        <v>6991000000</v>
      </c>
      <c r="U31" s="4"/>
    </row>
    <row r="32" spans="1:25" x14ac:dyDescent="0.2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21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</row>
    <row r="34" spans="1:21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</row>
    <row r="35" spans="1:21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</row>
    <row r="36" spans="1:21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</row>
    <row r="37" spans="1:21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</row>
    <row r="38" spans="1:21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</row>
    <row r="39" spans="1:21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</row>
    <row r="40" spans="1:21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</row>
    <row r="41" spans="1:21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</row>
    <row r="42" spans="1:21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</row>
    <row r="43" spans="1:21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</row>
    <row r="44" spans="1:21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1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1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1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1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1:21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1:21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1:21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1:2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1:21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1:21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1:21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1:21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1:21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1:21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1:21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1:21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1:21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1:21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</row>
    <row r="63" spans="1:21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</row>
    <row r="64" spans="1:21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</row>
    <row r="65" spans="1:21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</row>
    <row r="66" spans="1:21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</row>
    <row r="67" spans="1:21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</row>
    <row r="68" spans="1:21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</row>
    <row r="69" spans="1:21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</row>
    <row r="70" spans="1:21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</row>
    <row r="71" spans="1:21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</row>
    <row r="72" spans="1:21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</row>
    <row r="74" spans="1:21" x14ac:dyDescent="0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</row>
    <row r="75" spans="1:21" x14ac:dyDescent="0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</row>
    <row r="76" spans="1:21" x14ac:dyDescent="0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</row>
    <row r="77" spans="1:21" x14ac:dyDescent="0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</row>
    <row r="78" spans="1:21" x14ac:dyDescent="0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</row>
    <row r="79" spans="1:21" x14ac:dyDescent="0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</row>
    <row r="80" spans="1:21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</row>
    <row r="81" spans="1:21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</row>
    <row r="82" spans="1:21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</row>
    <row r="83" spans="1:21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</row>
    <row r="84" spans="1:21" x14ac:dyDescent="0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x14ac:dyDescent="0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</row>
    <row r="86" spans="1:21" x14ac:dyDescent="0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</row>
    <row r="87" spans="1:21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</row>
    <row r="88" spans="1:21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</row>
    <row r="89" spans="1:21" x14ac:dyDescent="0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1:21" x14ac:dyDescent="0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</row>
    <row r="91" spans="1:21" x14ac:dyDescent="0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</row>
    <row r="92" spans="1:21" x14ac:dyDescent="0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</row>
    <row r="93" spans="1:21" x14ac:dyDescent="0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</row>
    <row r="94" spans="1:21" x14ac:dyDescent="0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</row>
    <row r="95" spans="1:21" x14ac:dyDescent="0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</row>
    <row r="96" spans="1:21" x14ac:dyDescent="0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</row>
    <row r="97" spans="1:21" x14ac:dyDescent="0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</row>
    <row r="98" spans="1:21" x14ac:dyDescent="0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</row>
    <row r="99" spans="1:21" x14ac:dyDescent="0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</row>
    <row r="100" spans="1:21" x14ac:dyDescent="0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</row>
    <row r="101" spans="1:21" x14ac:dyDescent="0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</row>
    <row r="102" spans="1:21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</row>
    <row r="103" spans="1:21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</row>
    <row r="104" spans="1:21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</row>
    <row r="105" spans="1:21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</row>
    <row r="106" spans="1:21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</row>
    <row r="107" spans="1:21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</row>
    <row r="108" spans="1:21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</row>
    <row r="109" spans="1:21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</row>
    <row r="110" spans="1:21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</row>
    <row r="111" spans="1:21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</row>
    <row r="112" spans="1:21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</row>
    <row r="113" spans="1:21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</row>
    <row r="114" spans="1:21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</row>
    <row r="115" spans="1:21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</row>
    <row r="116" spans="1:21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</row>
    <row r="117" spans="1:21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</row>
    <row r="118" spans="1:21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</row>
    <row r="119" spans="1:21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</row>
    <row r="120" spans="1:21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</row>
    <row r="121" spans="1:21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</row>
    <row r="122" spans="1:21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</row>
    <row r="123" spans="1:21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</row>
    <row r="124" spans="1:21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</row>
    <row r="125" spans="1:21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</row>
    <row r="126" spans="1:21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</row>
    <row r="127" spans="1:21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</row>
    <row r="128" spans="1:21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</row>
    <row r="129" spans="1:21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</row>
    <row r="130" spans="1:21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</row>
    <row r="131" spans="1:21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</row>
    <row r="132" spans="1:21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</row>
    <row r="133" spans="1:21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</row>
    <row r="134" spans="1:21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</row>
    <row r="135" spans="1:21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</row>
    <row r="136" spans="1:21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</row>
    <row r="137" spans="1:21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1:21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</row>
    <row r="139" spans="1:21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</row>
    <row r="140" spans="1:21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</row>
    <row r="141" spans="1:21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</row>
    <row r="142" spans="1:21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</row>
    <row r="143" spans="1:21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</row>
    <row r="144" spans="1:21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</row>
    <row r="145" spans="1:21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</row>
    <row r="146" spans="1:21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</row>
    <row r="147" spans="1:21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</row>
    <row r="148" spans="1:21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</row>
    <row r="149" spans="1:21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</row>
    <row r="150" spans="1:21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</row>
    <row r="151" spans="1:21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</row>
    <row r="152" spans="1:21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</row>
    <row r="153" spans="1:21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</row>
    <row r="154" spans="1:21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</row>
    <row r="155" spans="1:21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</row>
    <row r="156" spans="1:21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</row>
    <row r="157" spans="1:21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</row>
    <row r="158" spans="1:21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</row>
    <row r="159" spans="1:21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</row>
    <row r="160" spans="1:21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</row>
    <row r="161" spans="1:21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</row>
    <row r="162" spans="1:21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</row>
    <row r="163" spans="1:21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</row>
    <row r="164" spans="1:21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</row>
    <row r="165" spans="1:21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</row>
    <row r="166" spans="1:21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</row>
    <row r="167" spans="1:21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</row>
    <row r="168" spans="1:21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</row>
    <row r="169" spans="1:21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</row>
    <row r="170" spans="1:21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</row>
    <row r="171" spans="1:21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</row>
    <row r="172" spans="1:21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</row>
    <row r="173" spans="1:21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</row>
    <row r="174" spans="1:21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</row>
    <row r="175" spans="1:21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</row>
    <row r="176" spans="1:21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</row>
    <row r="177" spans="1:27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</row>
    <row r="178" spans="1:27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</row>
    <row r="179" spans="1:27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</row>
    <row r="180" spans="1:27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</row>
    <row r="181" spans="1:27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</row>
    <row r="182" spans="1:27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</row>
    <row r="183" spans="1:27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</row>
    <row r="184" spans="1:27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</row>
    <row r="185" spans="1:27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1:27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</row>
    <row r="187" spans="1:27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</row>
    <row r="188" spans="1:27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31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31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31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31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31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</row>
    <row r="198" spans="1:31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</row>
    <row r="199" spans="1:31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</row>
    <row r="200" spans="1:31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</row>
    <row r="201" spans="1:31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</row>
    <row r="202" spans="1:31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</row>
    <row r="203" spans="1:31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</row>
    <row r="204" spans="1:31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</row>
    <row r="205" spans="1:31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</row>
    <row r="206" spans="1:31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</row>
    <row r="207" spans="1:31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</row>
    <row r="208" spans="1:31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</row>
    <row r="209" spans="1:31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</row>
    <row r="210" spans="1:31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</row>
    <row r="211" spans="1:31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</row>
    <row r="212" spans="1:31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</row>
    <row r="213" spans="1:31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</row>
    <row r="214" spans="1:31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</row>
    <row r="215" spans="1:31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</row>
    <row r="216" spans="1:31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</row>
    <row r="217" spans="1:31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</row>
    <row r="218" spans="1:31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</row>
    <row r="219" spans="1:3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</row>
    <row r="220" spans="1:3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</row>
    <row r="221" spans="1:31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</row>
    <row r="222" spans="1:3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</row>
    <row r="223" spans="1:3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</row>
    <row r="224" spans="1:3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</row>
    <row r="225" spans="1:3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</row>
    <row r="226" spans="1:3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</row>
    <row r="227" spans="1:3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</row>
    <row r="228" spans="1:31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</row>
    <row r="229" spans="1:31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</row>
    <row r="230" spans="1:31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</row>
    <row r="231" spans="1:31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</row>
    <row r="232" spans="1:31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</row>
    <row r="233" spans="1:31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</row>
    <row r="234" spans="1:31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</row>
    <row r="235" spans="1:31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</row>
    <row r="236" spans="1:31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</row>
    <row r="237" spans="1:31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</row>
    <row r="238" spans="1:31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</row>
    <row r="239" spans="1:31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</row>
    <row r="240" spans="1:31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</row>
    <row r="241" spans="1:31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</row>
    <row r="242" spans="1:31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</row>
    <row r="243" spans="1:31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</row>
    <row r="244" spans="1:31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</row>
    <row r="245" spans="1:31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</row>
    <row r="246" spans="1:31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</row>
    <row r="247" spans="1:31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</row>
    <row r="248" spans="1:31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</row>
    <row r="249" spans="1:31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</row>
    <row r="250" spans="1:31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</row>
    <row r="251" spans="1:31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</row>
    <row r="252" spans="1:31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</row>
    <row r="253" spans="1:31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</row>
    <row r="254" spans="1:31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</row>
    <row r="255" spans="1:31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</row>
    <row r="256" spans="1:31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</row>
    <row r="257" spans="1:31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</row>
    <row r="258" spans="1:31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</row>
    <row r="259" spans="1:31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</row>
    <row r="260" spans="1:31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</row>
    <row r="261" spans="1:31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</row>
    <row r="262" spans="1:31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</row>
    <row r="263" spans="1:31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</row>
    <row r="264" spans="1:31" x14ac:dyDescent="0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</row>
    <row r="265" spans="1:31" x14ac:dyDescent="0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</row>
    <row r="266" spans="1:31" x14ac:dyDescent="0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</row>
    <row r="267" spans="1:31" x14ac:dyDescent="0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</row>
    <row r="268" spans="1:31" x14ac:dyDescent="0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</row>
    <row r="269" spans="1:31" x14ac:dyDescent="0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</row>
    <row r="270" spans="1:31" x14ac:dyDescent="0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</row>
    <row r="271" spans="1:31" x14ac:dyDescent="0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</row>
    <row r="272" spans="1:31" x14ac:dyDescent="0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</row>
    <row r="273" spans="1:31" x14ac:dyDescent="0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</row>
    <row r="274" spans="1:31" x14ac:dyDescent="0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</row>
    <row r="275" spans="1:31" x14ac:dyDescent="0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</row>
    <row r="276" spans="1:31" x14ac:dyDescent="0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</row>
    <row r="277" spans="1:31" x14ac:dyDescent="0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</row>
    <row r="278" spans="1:31" x14ac:dyDescent="0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</row>
    <row r="279" spans="1:31" x14ac:dyDescent="0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</row>
    <row r="280" spans="1:31" x14ac:dyDescent="0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</row>
    <row r="281" spans="1:31" x14ac:dyDescent="0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</row>
    <row r="282" spans="1:31" x14ac:dyDescent="0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</row>
    <row r="283" spans="1:31" x14ac:dyDescent="0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</row>
    <row r="284" spans="1:31" x14ac:dyDescent="0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</row>
    <row r="285" spans="1:31" x14ac:dyDescent="0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</row>
    <row r="286" spans="1:31" x14ac:dyDescent="0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</row>
    <row r="287" spans="1:31" x14ac:dyDescent="0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</row>
    <row r="288" spans="1:31" x14ac:dyDescent="0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</row>
    <row r="289" spans="1:31" x14ac:dyDescent="0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</row>
    <row r="290" spans="1:31" x14ac:dyDescent="0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</row>
    <row r="291" spans="1:31" x14ac:dyDescent="0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</row>
  </sheetData>
  <mergeCells count="2">
    <mergeCell ref="F9:F11"/>
    <mergeCell ref="F24:F26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Company>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MX</dc:creator>
  <cp:lastModifiedBy>Пользователь Windows</cp:lastModifiedBy>
  <dcterms:created xsi:type="dcterms:W3CDTF">2018-03-13T09:07:20Z</dcterms:created>
  <dcterms:modified xsi:type="dcterms:W3CDTF">2018-09-19T15:33:03Z</dcterms:modified>
</cp:coreProperties>
</file>